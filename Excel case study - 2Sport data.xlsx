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d.docs.live.net/c04468d41c53bdd6/Desktop/ALAB/Excelcasestudy/"/>
    </mc:Choice>
  </mc:AlternateContent>
  <xr:revisionPtr revIDLastSave="23" documentId="13_ncr:1_{378352C1-2B0E-4701-8C06-F4FBD68DE5DB}" xr6:coauthVersionLast="47" xr6:coauthVersionMax="47" xr10:uidLastSave="{4E0E2654-1DD2-44EA-9CB0-614C6DDF8DFE}"/>
  <workbookProtection lockStructure="1"/>
  <bookViews>
    <workbookView xWindow="-120" yWindow="-120" windowWidth="20730" windowHeight="11040" tabRatio="758" activeTab="3"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7" l="1"/>
  <c r="I7" i="7"/>
  <c r="H8" i="7"/>
  <c r="I8" i="7"/>
  <c r="H9" i="7"/>
  <c r="I9" i="7"/>
  <c r="H10" i="7"/>
  <c r="I10" i="7"/>
  <c r="H11" i="7"/>
  <c r="I11" i="7"/>
  <c r="H12" i="7"/>
  <c r="I12" i="7"/>
  <c r="H13" i="7"/>
  <c r="I13" i="7"/>
  <c r="H14" i="7"/>
  <c r="I14" i="7"/>
  <c r="H15" i="7"/>
  <c r="I15" i="7"/>
  <c r="H16" i="7"/>
  <c r="I16" i="7"/>
  <c r="I6" i="7"/>
  <c r="H6" i="7"/>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7" i="1"/>
  <c r="M8" i="1"/>
  <c r="M9" i="1"/>
  <c r="M10" i="1"/>
  <c r="M11" i="1"/>
  <c r="M12" i="1"/>
  <c r="M13" i="1"/>
  <c r="M14" i="1"/>
  <c r="M15" i="1"/>
  <c r="M16" i="1"/>
  <c r="M17" i="1"/>
  <c r="M18" i="1"/>
  <c r="M19" i="1"/>
  <c r="M3" i="1"/>
  <c r="M4" i="1"/>
  <c r="M5" i="1"/>
  <c r="M6" i="1"/>
  <c r="M2"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3" i="1"/>
  <c r="L4" i="1"/>
  <c r="L5" i="1"/>
  <c r="L6" i="1"/>
  <c r="L7" i="1"/>
  <c r="L8" i="1"/>
  <c r="L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K31" i="1" l="1"/>
  <c r="K32" i="1"/>
  <c r="K33" i="1"/>
  <c r="K34" i="1"/>
  <c r="K35" i="1"/>
  <c r="K36" i="1"/>
  <c r="K37" i="1"/>
  <c r="K38" i="1"/>
  <c r="K39" i="1"/>
  <c r="K40" i="1"/>
  <c r="K41" i="1"/>
  <c r="K42" i="1"/>
  <c r="K43" i="1"/>
  <c r="K44" i="1"/>
  <c r="K45" i="1"/>
  <c r="K46" i="1"/>
  <c r="K47" i="1"/>
  <c r="K48" i="1"/>
  <c r="K49" i="1"/>
  <c r="K50" i="1"/>
  <c r="K51" i="1"/>
  <c r="K20" i="1"/>
  <c r="K21" i="1"/>
  <c r="K22" i="1"/>
  <c r="K23" i="1"/>
  <c r="K24" i="1"/>
  <c r="K25" i="1"/>
  <c r="K26" i="1"/>
  <c r="K27" i="1"/>
  <c r="K28" i="1"/>
  <c r="K29" i="1"/>
  <c r="K30" i="1"/>
  <c r="K6" i="1"/>
  <c r="K7" i="1"/>
  <c r="K8" i="1"/>
  <c r="K9" i="1"/>
  <c r="K10" i="1"/>
  <c r="K11" i="1"/>
  <c r="K12" i="1"/>
  <c r="K13" i="1"/>
  <c r="K14" i="1"/>
  <c r="K15" i="1"/>
  <c r="K16" i="1"/>
  <c r="K17" i="1"/>
  <c r="K18" i="1"/>
  <c r="K19" i="1"/>
  <c r="K3" i="1"/>
  <c r="K4" i="1"/>
  <c r="K5" i="1"/>
  <c r="K2" i="1"/>
  <c r="T18" i="1" l="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3" i="1"/>
  <c r="T4" i="1"/>
  <c r="T5" i="1"/>
  <c r="T6" i="1"/>
  <c r="T7" i="1"/>
  <c r="T8" i="1"/>
  <c r="T9" i="1"/>
  <c r="T10" i="1"/>
  <c r="T11" i="1"/>
  <c r="T12" i="1"/>
  <c r="T13" i="1"/>
  <c r="T14" i="1"/>
  <c r="T15" i="1"/>
  <c r="T16" i="1"/>
  <c r="T17" i="1"/>
  <c r="T2" i="1"/>
</calcChain>
</file>

<file path=xl/sharedStrings.xml><?xml version="1.0" encoding="utf-8"?>
<sst xmlns="http://schemas.openxmlformats.org/spreadsheetml/2006/main" count="1059" uniqueCount="424">
  <si>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</si>
  <si>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</si>
  <si>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</si>
  <si>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</si>
  <si>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</si>
  <si>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</si>
  <si>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</si>
  <si>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</si>
  <si>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</si>
  <si>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</si>
  <si>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</si>
  <si>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</si>
  <si>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</si>
  <si>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</si>
  <si>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</si>
  <si>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</si>
  <si>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</si>
  <si>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</si>
  <si>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</si>
  <si>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</si>
  <si>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</si>
  <si>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</si>
  <si>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</si>
  <si>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</si>
  <si>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</si>
  <si>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</si>
  <si>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</si>
  <si>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</si>
  <si>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</si>
  <si>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</si>
  <si>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</si>
  <si>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</si>
  <si>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</si>
  <si>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</si>
  <si>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</si>
  <si>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</si>
  <si>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</si>
  <si>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</si>
  <si>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</si>
  <si>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</si>
  <si>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</si>
  <si>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</si>
  <si>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</si>
  <si>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</si>
  <si>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</si>
  <si>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</si>
  <si>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</si>
  <si>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</si>
  <si>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</si>
  <si>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</si>
  <si>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</si>
  <si>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</si>
  <si>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</si>
  <si>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</si>
  <si>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</si>
  <si>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</si>
  <si>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</si>
  <si>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</si>
  <si>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</si>
  <si>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</si>
  <si>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</si>
  <si>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</si>
  <si>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</si>
  <si>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</si>
  <si>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</si>
  <si>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</si>
  <si>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</si>
  <si>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</si>
  <si>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</si>
  <si>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</si>
  <si>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</si>
  <si>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</si>
  <si>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</si>
  <si>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</si>
  <si>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</si>
  <si>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</si>
  <si>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</si>
  <si>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</si>
  <si>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</si>
  <si>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</si>
  <si>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</si>
  <si>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</si>
  <si>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</si>
  <si>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</si>
  <si>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</si>
  <si>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</si>
  <si>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</si>
  <si>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</si>
  <si>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</si>
  <si>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</si>
  <si>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</si>
  <si>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</si>
  <si>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</si>
  <si>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</si>
  <si>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</si>
  <si>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</si>
  <si>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</si>
  <si>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</si>
  <si>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</si>
  <si>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</si>
  <si>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</si>
  <si>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</si>
  <si>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</si>
  <si>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</si>
  <si>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</si>
  <si>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</si>
  <si>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</si>
  <si>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</si>
  <si>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</si>
  <si>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</si>
  <si>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</si>
  <si>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</si>
  <si>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</si>
  <si>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</si>
  <si>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</si>
  <si>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</si>
  <si>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</si>
  <si>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</si>
  <si>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</si>
  <si>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</si>
  <si>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</si>
  <si>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</si>
  <si>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</si>
  <si>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</si>
  <si>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</si>
  <si>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</si>
  <si>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</si>
  <si>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</si>
  <si>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</si>
  <si>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</si>
  <si>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</si>
  <si>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</si>
  <si>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</si>
  <si>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</si>
  <si>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</si>
  <si>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</si>
  <si>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</si>
  <si>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</si>
  <si>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</si>
  <si>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</si>
  <si>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</si>
  <si>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</si>
  <si>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</si>
  <si>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</si>
  <si>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</si>
  <si>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</si>
  <si>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</si>
  <si>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</si>
  <si>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</si>
  <si>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</si>
  <si>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</si>
  <si>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</si>
  <si>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</si>
  <si>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</si>
  <si>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</si>
  <si>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</si>
  <si>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</si>
  <si>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</si>
  <si>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</si>
  <si>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</si>
  <si>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</si>
  <si>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</si>
  <si>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</si>
  <si>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</si>
  <si>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</si>
  <si>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</si>
  <si>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</si>
  <si>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</si>
  <si>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</si>
  <si>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</si>
  <si>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</si>
  <si>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</si>
  <si>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</si>
  <si>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</si>
  <si>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</si>
  <si>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</si>
  <si>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</si>
  <si>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</si>
  <si>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</si>
  <si>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</si>
  <si>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</si>
  <si>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</si>
  <si>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</si>
  <si>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</si>
  <si>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</si>
  <si>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</si>
  <si>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</si>
  <si>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</si>
  <si>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</si>
  <si>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</si>
  <si>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</si>
  <si>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</si>
  <si>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</si>
  <si>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</si>
  <si>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</si>
  <si>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</si>
  <si>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</si>
  <si>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</si>
  <si>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</si>
  <si>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</si>
  <si>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</si>
  <si>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</si>
  <si>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</si>
  <si>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</si>
  <si>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</si>
  <si>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</si>
  <si>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</si>
  <si>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</si>
  <si>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</si>
  <si>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</si>
  <si>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</si>
  <si>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</si>
  <si>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</si>
  <si>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</si>
  <si>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</si>
  <si>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</si>
  <si>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</si>
  <si>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</si>
  <si>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</si>
  <si>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</si>
  <si>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</si>
  <si>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</si>
  <si>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</si>
  <si>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</si>
  <si>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</si>
  <si>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</si>
  <si>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</si>
  <si>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</si>
  <si>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</si>
  <si>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</si>
  <si>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</si>
  <si>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</si>
  <si>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</si>
  <si>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</si>
  <si>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</si>
  <si>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</si>
  <si>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</si>
  <si>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</si>
  <si>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</si>
  <si>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</si>
  <si>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</si>
  <si>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</si>
  <si>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</si>
  <si>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</si>
  <si>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</si>
  <si>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</si>
  <si>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</si>
  <si>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</si>
  <si>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</si>
  <si>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</si>
  <si>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</si>
  <si>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</si>
  <si>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</si>
  <si>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</si>
  <si>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</si>
  <si>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</si>
  <si>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</si>
  <si>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</si>
  <si>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</si>
  <si>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</si>
  <si>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</si>
  <si>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</si>
  <si>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</si>
  <si>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</si>
  <si>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</si>
  <si>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</si>
  <si>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</si>
  <si>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</si>
  <si>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</si>
  <si>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</si>
  <si>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</si>
  <si>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</si>
  <si>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</si>
  <si>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</si>
  <si>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</si>
  <si>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</si>
  <si>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</si>
  <si>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</si>
  <si>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</si>
  <si>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</si>
  <si>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</si>
  <si>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</si>
  <si>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</si>
  <si>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FULLNAME (UPPERCASE)</t>
  </si>
  <si>
    <t>Column Labels</t>
  </si>
  <si>
    <t>Grand Total</t>
  </si>
  <si>
    <t>Row Labels</t>
  </si>
  <si>
    <t>Count of GENDER</t>
  </si>
  <si>
    <t>MS. ANNIE ABBOTT</t>
  </si>
  <si>
    <t>MS. AURELIE LIESUCHKE</t>
  </si>
  <si>
    <t>SR. TOMAS FILHO</t>
  </si>
  <si>
    <t>MS. DARBY CRUICKSHANK</t>
  </si>
  <si>
    <t>DR. JAYDON BORER</t>
  </si>
  <si>
    <t>MR. MORIAH  LYNCH</t>
  </si>
  <si>
    <t>MS. AMIYA EICHMANN</t>
  </si>
  <si>
    <t>MR. PIERCE RAU</t>
  </si>
  <si>
    <t>MS. AMELIA STEVENS</t>
  </si>
  <si>
    <t>MR. TOBY SIMPSON</t>
  </si>
  <si>
    <t>SIR ETHAN MURPHY</t>
  </si>
  <si>
    <t>MRS. ASHLEY WOOD</t>
  </si>
  <si>
    <t>MS. MEGAN SCOTT</t>
  </si>
  <si>
    <t>HR. HELMUT WEINHAE</t>
  </si>
  <si>
    <t>PROF. MILENA SCHOTIN</t>
  </si>
  <si>
    <t>HR. LOTHAR BIRNBAUM</t>
  </si>
  <si>
    <t>HR. PIETRO STOLZE</t>
  </si>
  <si>
    <t>HR. RICHARD  TLUSTEK</t>
  </si>
  <si>
    <t>DR. EARNESTINE RAYNOR</t>
  </si>
  <si>
    <t>MR. JASON GAYLORD</t>
  </si>
  <si>
    <t>MR. KENDRICK SAUER</t>
  </si>
  <si>
    <t>DR. ANNABELL OLSON</t>
  </si>
  <si>
    <t>DR. JENA UPTON</t>
  </si>
  <si>
    <t>DR. SHANNY BINS</t>
  </si>
  <si>
    <t>DR. TIA ABSHIRE</t>
  </si>
  <si>
    <t>MS. ISABEL RUNOLFSDOTTIR</t>
  </si>
  <si>
    <t>HR. BARNEY WESACK</t>
  </si>
  <si>
    <t>HR. BARUCH KADE</t>
  </si>
  <si>
    <t>PROF. LIESBETH ROSEMANN</t>
  </si>
  <si>
    <t>MME. VALENTINE MOREAU</t>
  </si>
  <si>
    <t>MME. PAULETTE DURAND</t>
  </si>
  <si>
    <t>MME. LAURE-ALIX CHEVALIER</t>
  </si>
  <si>
    <t>M. CLAUDE TOUSSAINT</t>
  </si>
  <si>
    <t>M. VICTOR LENOIR</t>
  </si>
  <si>
    <t>M. ARTHUR LENOIR</t>
  </si>
  <si>
    <t>M. BENJAMIN LEBRUN-BRUN</t>
  </si>
  <si>
    <t>M. ANTOINE MAILLARD</t>
  </si>
  <si>
    <t>M. BERNARD HOARAU-GUYON</t>
  </si>
  <si>
    <t>SR. HIDALGO TERCERO</t>
  </si>
  <si>
    <t>SR. HADALGO POLANCO</t>
  </si>
  <si>
    <t>SRA. LAURA OLIVIERA</t>
  </si>
  <si>
    <t>SRA. AINHOA GARZA</t>
  </si>
  <si>
    <t>SRA. ISABEL BANDA</t>
  </si>
  <si>
    <t>SRA. CAROLOTA MATEOS</t>
  </si>
  <si>
    <t>MW. ELIZE PRINS</t>
  </si>
  <si>
    <t>DHR. RYAN PHAM</t>
  </si>
  <si>
    <t>MW ELISE ROTTEVEEL</t>
  </si>
  <si>
    <t>FRU. MIRJAM SODERBERG</t>
  </si>
  <si>
    <t>H. BERNDT PALSSON</t>
  </si>
  <si>
    <t>SR. ADRIANO SOBRINHO</t>
  </si>
  <si>
    <t>1997</t>
  </si>
  <si>
    <t>1992</t>
  </si>
  <si>
    <t>1969</t>
  </si>
  <si>
    <t>1975</t>
  </si>
  <si>
    <t>1970</t>
  </si>
  <si>
    <t>1999</t>
  </si>
  <si>
    <t>1963</t>
  </si>
  <si>
    <t>1971</t>
  </si>
  <si>
    <t>1964</t>
  </si>
  <si>
    <t>1986</t>
  </si>
  <si>
    <t>1977</t>
  </si>
  <si>
    <t>1959</t>
  </si>
  <si>
    <t>1965</t>
  </si>
  <si>
    <t>1972</t>
  </si>
  <si>
    <t>1976</t>
  </si>
  <si>
    <t>1996</t>
  </si>
  <si>
    <t>1955</t>
  </si>
  <si>
    <t>1966</t>
  </si>
  <si>
    <t>1978</t>
  </si>
  <si>
    <t>1982</t>
  </si>
  <si>
    <t>1994</t>
  </si>
  <si>
    <t>1979</t>
  </si>
  <si>
    <t>1989</t>
  </si>
  <si>
    <t>1980</t>
  </si>
  <si>
    <t>1981</t>
  </si>
  <si>
    <t>1983</t>
  </si>
  <si>
    <t>1984</t>
  </si>
  <si>
    <t>1988</t>
  </si>
  <si>
    <t>1974</t>
  </si>
  <si>
    <t>1990</t>
  </si>
  <si>
    <t>1960</t>
  </si>
  <si>
    <t>1973</t>
  </si>
  <si>
    <t>1968</t>
  </si>
  <si>
    <t>1987</t>
  </si>
  <si>
    <t>1993</t>
  </si>
  <si>
    <t>Abbott.Annie@xyzorg</t>
  </si>
  <si>
    <t>Liesuchke.Aurelie@xyzorg</t>
  </si>
  <si>
    <t>Filho.Tomas@xyz.com</t>
  </si>
  <si>
    <t>Cruickshank.Darby@xyzorg</t>
  </si>
  <si>
    <t>Borer.Jaydon@xyzorg</t>
  </si>
  <si>
    <t>Lynch.Moriah @xyzorg</t>
  </si>
  <si>
    <t>Eichmann.Amiya@xyzorg</t>
  </si>
  <si>
    <t>Rau.Pierce@xyzorg</t>
  </si>
  <si>
    <t>Stevens.Amelia@xyzorg</t>
  </si>
  <si>
    <t>Simpson.Toby@xyzorg</t>
  </si>
  <si>
    <t>Murphy.Ethan@xyzorg</t>
  </si>
  <si>
    <t>Wood.Ashley@xyzorg</t>
  </si>
  <si>
    <t>Scott.Megan@xyzorg</t>
  </si>
  <si>
    <t>Weinhae.Helmut@xyz.com</t>
  </si>
  <si>
    <t>Schotin.Milena@xyz.com</t>
  </si>
  <si>
    <t>Birnbaum.Lothar@xyz.com</t>
  </si>
  <si>
    <t>Stolze.Pietro@xyz.com</t>
  </si>
  <si>
    <t>Tlustek.Richard @xyz.com</t>
  </si>
  <si>
    <t>Raynor.Earnestine@xyzorg</t>
  </si>
  <si>
    <t>Gaylord.Jason@xyzorg</t>
  </si>
  <si>
    <t>Sauer.Kendrick@xyzorg</t>
  </si>
  <si>
    <t>Olson.Annabell@xyzorg</t>
  </si>
  <si>
    <t>Upton.Jena@xyzorg</t>
  </si>
  <si>
    <t>Bins.Shanny@xyzorg</t>
  </si>
  <si>
    <t>Abshire.Tia@xyzorg</t>
  </si>
  <si>
    <t>Runolfsdottir.Isabel@xyzorg</t>
  </si>
  <si>
    <t>Wesack.Barney@xyz.com</t>
  </si>
  <si>
    <t>Kade.Baruch@xyz.com</t>
  </si>
  <si>
    <t>Rosemann.Liesbeth@xyz.com</t>
  </si>
  <si>
    <t>Moreau.Valentine@xyz.com</t>
  </si>
  <si>
    <t>Durand.Paulette@xyz.com</t>
  </si>
  <si>
    <t>Chevalier.Laure-Alix@xyz.com</t>
  </si>
  <si>
    <t>Toussaint.Claude@xyz.com</t>
  </si>
  <si>
    <t>Lenoir.Victor@xyz.com</t>
  </si>
  <si>
    <t>Lenoir.Arthur@xyz.com</t>
  </si>
  <si>
    <t>Lebrun-Brun.Benjamin@xyz.com</t>
  </si>
  <si>
    <t>Maillard.Antoine@xyz.com</t>
  </si>
  <si>
    <t>Hoarau-Guyon.Bernard@xyz.com</t>
  </si>
  <si>
    <t>Tercero.Hidalgo@xyz.com</t>
  </si>
  <si>
    <t>Polanco.Hadalgo@xyz.com</t>
  </si>
  <si>
    <t>Oliviera.Laura@xyz.com</t>
  </si>
  <si>
    <t>Garza.Ainhoa@xyz.com</t>
  </si>
  <si>
    <t>Banda.Isabel@xyz.com</t>
  </si>
  <si>
    <t>Mateos.Carolota@xyz.com</t>
  </si>
  <si>
    <t>Prins.Elize@xyz.com</t>
  </si>
  <si>
    <t>Pham.Ryan@xyz.com</t>
  </si>
  <si>
    <t>Rotteveel.Elise@xyz.com</t>
  </si>
  <si>
    <t>Soderberg.Mirjam@xyz.com</t>
  </si>
  <si>
    <t>Palsson.Berndt@xyz.com</t>
  </si>
  <si>
    <t>Sobrinho.Adriano@xyz.com</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</si>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</sst>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 mmm\ \'yyyy"/>
    <numFmt numFmtId="166" formatCode="0&quot;kg&quot;"/>
    <numFmt numFmtId="167" formatCode="000"/>
    <numFmt numFmtId="168" formatCode="[&lt;100000]###.00,\ &quot;K&quot;\ ;[&gt;=100000]\ ###.0,\ &quot;K&quot;"/>
  </numFmts>
  <fonts count="13"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164" fontId="0" fillId="0" borderId="1" xfId="0" applyNumberFormat="1" applyBorder="1"/>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1" xfId="0" applyNumberFormat="1" applyBorder="1" applyAlignment="1">
      <alignment horizontal="righ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165" fontId="0" fillId="0" borderId="1" xfId="0" applyNumberFormat="1" applyBorder="1" applyAlignment="1">
      <alignment horizontal="right"/>
    </xf>
    <xf numFmtId="166" fontId="0" fillId="0" borderId="1" xfId="0" applyNumberFormat="1" applyBorder="1"/>
    <xf numFmtId="167" fontId="0" fillId="0" borderId="1" xfId="0" applyNumberFormat="1" applyBorder="1"/>
    <xf numFmtId="168" fontId="0" fillId="0" borderId="1" xfId="0" applyNumberFormat="1" applyBorder="1"/>
    <xf numFmtId="0" fontId="0" fillId="0" borderId="0" xfId="0" pivotButton="1"/>
    <xf numFmtId="0" fontId="0" fillId="0" borderId="1" xfId="0" pivotButton="1" applyBorder="1"/>
    <xf numFmtId="0" fontId="0" fillId="0" borderId="1" xfId="0" applyBorder="1" applyAlignment="1">
      <alignment horizontal="left" indent="1"/>
    </xf>
    <xf numFmtId="0" fontId="0" fillId="0" borderId="1" xfId="0" applyBorder="1" applyAlignment="1">
      <alignment horizontal="left" indent="2"/>
    </xf>
    <xf numFmtId="0" fontId="0" fillId="0" borderId="1" xfId="0" applyBorder="1" applyAlignment="1">
      <alignment horizontal="left" indent="3"/>
    </xf>
    <xf numFmtId="0" fontId="0" fillId="0" borderId="1" xfId="0" applyBorder="1" applyAlignment="1">
      <alignment horizontal="left" indent="4"/>
    </xf>
    <xf numFmtId="14" fontId="0" fillId="0" borderId="1" xfId="0" applyNumberFormat="1" applyBorder="1" applyAlignment="1">
      <alignment horizontal="left" indent="5"/>
    </xf>
    <xf numFmtId="0" fontId="0" fillId="0" borderId="1" xfId="0" applyBorder="1" applyAlignment="1">
      <alignment horizontal="left" indent="6"/>
    </xf>
    <xf numFmtId="0" fontId="0" fillId="0" borderId="1" xfId="0" applyBorder="1" applyAlignment="1">
      <alignment horizontal="left" indent="7"/>
    </xf>
    <xf numFmtId="0" fontId="0" fillId="0" borderId="1" xfId="0" applyBorder="1" applyAlignment="1">
      <alignment horizontal="left" indent="8"/>
    </xf>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167" fontId="1" fillId="7" borderId="1" xfId="0" applyNumberFormat="1" applyFont="1" applyFill="1" applyBorder="1" applyAlignment="1">
      <alignment horizontal="left"/>
    </xf>
    <xf numFmtId="165" fontId="1" fillId="7" borderId="1" xfId="0" applyNumberFormat="1" applyFont="1" applyFill="1" applyBorder="1" applyAlignment="1">
      <alignment horizontal="left"/>
    </xf>
    <xf numFmtId="166" fontId="1" fillId="7" borderId="1" xfId="0" applyNumberFormat="1" applyFont="1" applyFill="1" applyBorder="1" applyAlignment="1">
      <alignment horizontal="left"/>
    </xf>
    <xf numFmtId="0" fontId="1" fillId="7" borderId="1" xfId="0" applyFont="1" applyFill="1" applyBorder="1" applyAlignment="1">
      <alignment horizontal="left"/>
    </xf>
    <xf numFmtId="0" fontId="12" fillId="7" borderId="0" xfId="0" applyFont="1" applyFill="1" applyAlignment="1">
      <alignment horizontal="left"/>
    </xf>
  </cellXfs>
  <cellStyles count="1">
    <cellStyle name="Normal" xfId="0" builtinId="0"/>
  </cellStyles>
  <dxfs count="682">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0.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gupta" refreshedDate="45184.468303240741" createdVersion="8" refreshedVersion="8" minRefreshableVersion="3" recordCount="50" xr:uid="{51D1D711-20DE-4D08-961B-91138EBACB78}">
  <cacheSource type="worksheet">
    <worksheetSource ref="A1:X51" sheet="SPORTSMEN"/>
  </cacheSource>
  <cacheFields count="27">
    <cacheField name="MEMBER 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TERCERO"/>
        <s v="SR. HADALGO POLANCO"/>
        <s v="SRA. LAURA OLIVIERA"/>
        <s v="SRA. AINHOA GARZA"/>
        <s v="SRA. ISABEL BANDA"/>
        <s v="SRA. CAROLOTA MATEOS"/>
        <s v="MW. ELIZE PRINS"/>
        <s v="DHR. RYAN PHAM"/>
        <s v="MW ELISE ROTTEVEEL"/>
        <s v="FRU. MIRJAM SODERBERG"/>
        <s v="H. BERNDT PALSSON"/>
        <s v="SR. ADRIANO SOBRINHO"/>
      </sharedItems>
    </cacheField>
    <cacheField name="PREFIX" numFmtId="0">
      <sharedItems count="16">
        <s v="Ms."/>
        <s v="Sr."/>
        <s v="Dr."/>
        <s v="Mr."/>
        <s v="Sir"/>
        <s v="Mrs."/>
        <s v="Hr."/>
        <s v="Prof."/>
        <s v="Mme."/>
        <s v="M."/>
        <s v="Sra."/>
        <s v="Mw."/>
        <s v="dhr."/>
        <s v="Mw"/>
        <s v="Fru."/>
        <s v="H."/>
      </sharedItems>
    </cacheField>
    <cacheField name="FIRSTNAME" numFmtId="0">
      <sharedItems/>
    </cacheField>
    <cacheField name="MIDDLENAME" numFmtId="0">
      <sharedItems containsBlank="1"/>
    </cacheField>
    <cacheField name="LASTNAME" numFmtId="0">
      <sharedItems/>
    </cacheField>
    <cacheField name="BIRTHDATE" numFmtId="14">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par="26"/>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4">
      <sharedItems containsSemiMixedTypes="0" containsString="0" containsNumber="1" minValue="45.9" maxValue="105.9"/>
    </cacheField>
    <cacheField name="EYECOLOR" numFmtId="0">
      <sharedItems/>
    </cacheField>
    <cacheField name="BLOODTYPE" numFmtId="0">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0">
      <sharedItems containsSemiMixedTypes="0" containsString="0" containsNumber="1" containsInteger="1" minValue="10241" maxValue="117408"/>
    </cacheField>
    <cacheField name="FULLNAME (UPPERCASE)" numFmtId="0">
      <sharedItems/>
    </cacheField>
    <cacheField name="MEMBER ID2" numFmtId="167">
      <sharedItems containsSemiMixedTypes="0" containsString="0" containsNumber="1" containsInteger="1" minValue="1" maxValue="50"/>
    </cacheField>
    <cacheField name="BIRTHDATE2" numFmtId="165">
      <sharedItems containsSemiMixedTypes="0" containsNonDate="0" containsDate="1" containsString="0" minDate="1955-07-30T00:00:00" maxDate="1999-08-29T00:00:00"/>
    </cacheField>
    <cacheField name="WEIGHT2" numFmtId="166">
      <sharedItems containsSemiMixedTypes="0" containsString="0" containsNumber="1" minValue="45.9" maxValue="105.9"/>
    </cacheField>
    <cacheField name="SALARY2" numFmtId="168">
      <sharedItems containsSemiMixedTypes="0" containsString="0" containsNumber="1" containsInteger="1" minValue="10241" maxValue="117408"/>
    </cacheField>
    <cacheField name="Months (BIRTHDATE)" numFmtId="0" databaseField="0">
      <fieldGroup base="6">
        <rangePr groupBy="months" startDate="1955-07-30T00:00:00" endDate="1999-08-29T00:00:00"/>
        <groupItems count="14">
          <s v="&lt;30-07-1955"/>
          <s v="Jan"/>
          <s v="Feb"/>
          <s v="Mar"/>
          <s v="Apr"/>
          <s v="May"/>
          <s v="Jun"/>
          <s v="Jul"/>
          <s v="Aug"/>
          <s v="Sep"/>
          <s v="Oct"/>
          <s v="Nov"/>
          <s v="Dec"/>
          <s v="&gt;29-08-1999"/>
        </groupItems>
      </fieldGroup>
    </cacheField>
    <cacheField name="Quarters (BIRTHDATE)" numFmtId="0" databaseField="0">
      <fieldGroup base="6">
        <rangePr groupBy="quarters" startDate="1955-07-30T00:00:00" endDate="1999-08-29T00:00:00"/>
        <groupItems count="6">
          <s v="&lt;30-07-1955"/>
          <s v="Qtr1"/>
          <s v="Qtr2"/>
          <s v="Qtr3"/>
          <s v="Qtr4"/>
          <s v="&gt;29-08-1999"/>
        </groupItems>
      </fieldGroup>
    </cacheField>
    <cacheField name="Years (BIRTHDATE)" numFmtId="0" databaseField="0">
      <fieldGroup base="6">
        <rangePr groupBy="years" startDate="1955-07-30T00:00:00" endDate="1999-08-29T00:00:00"/>
        <groupItems count="47">
          <s v="&lt;30-07-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29-08-199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s v="Annie"/>
    <m/>
    <s v="Abbott"/>
    <x v="0"/>
    <s v="Libra"/>
    <x v="0"/>
    <s v="US"/>
    <x v="0"/>
    <x v="0"/>
    <x v="0"/>
    <n v="94"/>
    <s v="Green"/>
    <s v="A−"/>
    <x v="0"/>
    <x v="0"/>
    <n v="80727"/>
    <s v="MS. ANNIE ABBOTT"/>
    <n v="1"/>
    <d v="1997-09-26T00:00:00"/>
    <n v="94"/>
    <n v="80727"/>
  </r>
  <r>
    <x v="1"/>
    <x v="1"/>
    <x v="0"/>
    <s v="Aurelie"/>
    <m/>
    <s v="Liesuchke"/>
    <x v="1"/>
    <s v="Aquarius"/>
    <x v="0"/>
    <s v="US"/>
    <x v="0"/>
    <x v="0"/>
    <x v="1"/>
    <n v="84.2"/>
    <s v="Brown"/>
    <s v="O−"/>
    <x v="0"/>
    <x v="1"/>
    <n v="87471"/>
    <s v="MS. AURELIE LIESUCHKE"/>
    <n v="2"/>
    <d v="1992-02-07T00:00:00"/>
    <n v="84.2"/>
    <n v="87471"/>
  </r>
  <r>
    <x v="2"/>
    <x v="2"/>
    <x v="1"/>
    <s v="Tomas"/>
    <s v="Ferreira"/>
    <s v="Filho"/>
    <x v="2"/>
    <s v="Cancer"/>
    <x v="1"/>
    <s v="BR"/>
    <x v="1"/>
    <x v="1"/>
    <x v="2"/>
    <n v="52.9"/>
    <s v="Amber"/>
    <s v="A−"/>
    <x v="1"/>
    <x v="2"/>
    <n v="64724"/>
    <s v="SR. TOMAS FILHO"/>
    <n v="3"/>
    <d v="1969-07-10T00:00:00"/>
    <n v="52.9"/>
    <n v="64724"/>
  </r>
  <r>
    <x v="3"/>
    <x v="3"/>
    <x v="0"/>
    <s v="Darby"/>
    <m/>
    <s v="Cruickshank"/>
    <x v="3"/>
    <s v="Taurus"/>
    <x v="0"/>
    <s v="US"/>
    <x v="0"/>
    <x v="0"/>
    <x v="3"/>
    <n v="48.9"/>
    <s v="Green"/>
    <s v="O−"/>
    <x v="1"/>
    <x v="3"/>
    <n v="110823"/>
    <s v="MS. DARBY CRUICKSHANK"/>
    <n v="4"/>
    <d v="1975-05-18T00:00:00"/>
    <n v="48.9"/>
    <n v="110823"/>
  </r>
  <r>
    <x v="4"/>
    <x v="4"/>
    <x v="2"/>
    <s v="Jaydon"/>
    <m/>
    <s v="Borer"/>
    <x v="4"/>
    <s v="Taurus"/>
    <x v="1"/>
    <s v="US"/>
    <x v="0"/>
    <x v="0"/>
    <x v="4"/>
    <n v="84.8"/>
    <s v="Blue"/>
    <s v="B−"/>
    <x v="0"/>
    <x v="4"/>
    <n v="56916"/>
    <s v="DR. JAYDON BORER"/>
    <n v="5"/>
    <d v="1970-05-18T00:00:00"/>
    <n v="84.8"/>
    <n v="56916"/>
  </r>
  <r>
    <x v="5"/>
    <x v="5"/>
    <x v="3"/>
    <s v="Moriah "/>
    <m/>
    <s v="Lynch"/>
    <x v="5"/>
    <s v="Sagittarius"/>
    <x v="1"/>
    <s v="US"/>
    <x v="0"/>
    <x v="0"/>
    <x v="5"/>
    <n v="83.2"/>
    <s v="Blue"/>
    <s v="O−"/>
    <x v="0"/>
    <x v="5"/>
    <n v="51133"/>
    <s v="MR. MORIAH  LYNCH"/>
    <n v="6"/>
    <d v="1992-12-06T00:00:00"/>
    <n v="83.2"/>
    <n v="51133"/>
  </r>
  <r>
    <x v="6"/>
    <x v="6"/>
    <x v="0"/>
    <s v="Amiya"/>
    <m/>
    <s v="Eichmann"/>
    <x v="6"/>
    <s v="Leo"/>
    <x v="0"/>
    <s v="US"/>
    <x v="0"/>
    <x v="0"/>
    <x v="6"/>
    <n v="61.1"/>
    <s v="Blue"/>
    <s v="B−"/>
    <x v="1"/>
    <x v="6"/>
    <n v="65465"/>
    <s v="MS. AMIYA EICHMANN"/>
    <n v="7"/>
    <d v="1999-07-29T00:00:00"/>
    <n v="61.1"/>
    <n v="65465"/>
  </r>
  <r>
    <x v="7"/>
    <x v="7"/>
    <x v="3"/>
    <s v="Pierce"/>
    <m/>
    <s v="Rau"/>
    <x v="7"/>
    <s v="Taurus"/>
    <x v="1"/>
    <s v="US"/>
    <x v="0"/>
    <x v="0"/>
    <x v="7"/>
    <n v="105.7"/>
    <s v="Amber"/>
    <s v="A+"/>
    <x v="0"/>
    <x v="7"/>
    <n v="109885"/>
    <s v="MR. PIERCE RAU"/>
    <n v="8"/>
    <d v="1963-05-10T00:00:00"/>
    <n v="105.7"/>
    <n v="109885"/>
  </r>
  <r>
    <x v="8"/>
    <x v="8"/>
    <x v="0"/>
    <s v="Amelia"/>
    <m/>
    <s v="Stevens"/>
    <x v="8"/>
    <s v="Aquarius"/>
    <x v="0"/>
    <s v="GB"/>
    <x v="2"/>
    <x v="0"/>
    <x v="8"/>
    <n v="65.3"/>
    <s v="Blue"/>
    <s v="A+"/>
    <x v="0"/>
    <x v="8"/>
    <n v="60061"/>
    <s v="MS. AMELIA STEVENS"/>
    <n v="9"/>
    <d v="1971-02-01T00:00:00"/>
    <n v="65.3"/>
    <n v="60061"/>
  </r>
  <r>
    <x v="9"/>
    <x v="9"/>
    <x v="3"/>
    <s v="Toby"/>
    <m/>
    <s v="Simpson"/>
    <x v="9"/>
    <s v="Sagittarius"/>
    <x v="1"/>
    <s v="GB"/>
    <x v="2"/>
    <x v="0"/>
    <x v="9"/>
    <n v="62.9"/>
    <s v="Amber"/>
    <s v="O+"/>
    <x v="1"/>
    <x v="6"/>
    <n v="32758"/>
    <s v="MR. TOBY SIMPSON"/>
    <n v="10"/>
    <d v="1964-12-21T00:00:00"/>
    <n v="62.9"/>
    <n v="32758"/>
  </r>
  <r>
    <x v="10"/>
    <x v="10"/>
    <x v="4"/>
    <s v="Ethan"/>
    <m/>
    <s v="Murphy"/>
    <x v="10"/>
    <s v="Scorpio"/>
    <x v="1"/>
    <s v="GB"/>
    <x v="2"/>
    <x v="0"/>
    <x v="10"/>
    <n v="104.3"/>
    <s v="Brown"/>
    <s v="O+"/>
    <x v="1"/>
    <x v="9"/>
    <n v="99613"/>
    <s v="SIR ETHAN MURPHY"/>
    <n v="11"/>
    <d v="1986-11-17T00:00:00"/>
    <n v="104.3"/>
    <n v="99613"/>
  </r>
  <r>
    <x v="11"/>
    <x v="11"/>
    <x v="5"/>
    <s v="Ashley"/>
    <m/>
    <s v="Wood"/>
    <x v="11"/>
    <s v="Libra"/>
    <x v="0"/>
    <s v="GB"/>
    <x v="2"/>
    <x v="0"/>
    <x v="11"/>
    <n v="100.7"/>
    <s v="Brown"/>
    <s v="O+"/>
    <x v="1"/>
    <x v="10"/>
    <n v="56595"/>
    <s v="MRS. ASHLEY WOOD"/>
    <n v="12"/>
    <d v="1977-10-14T00:00:00"/>
    <n v="100.7"/>
    <n v="56595"/>
  </r>
  <r>
    <x v="12"/>
    <x v="12"/>
    <x v="0"/>
    <s v="Megan"/>
    <m/>
    <s v="Scott"/>
    <x v="12"/>
    <s v="Aquarius"/>
    <x v="0"/>
    <s v="GB"/>
    <x v="2"/>
    <x v="0"/>
    <x v="12"/>
    <n v="70.900000000000006"/>
    <s v="Green"/>
    <s v="A−"/>
    <x v="1"/>
    <x v="11"/>
    <n v="117408"/>
    <s v="MS. MEGAN SCOTT"/>
    <n v="13"/>
    <d v="1977-02-12T00:00:00"/>
    <n v="70.900000000000006"/>
    <n v="117408"/>
  </r>
  <r>
    <x v="13"/>
    <x v="13"/>
    <x v="6"/>
    <s v="Helmut"/>
    <m/>
    <s v="Weinhae"/>
    <x v="13"/>
    <s v="Virgo"/>
    <x v="1"/>
    <s v="DE"/>
    <x v="3"/>
    <x v="2"/>
    <x v="13"/>
    <n v="68.3"/>
    <s v="Gray"/>
    <s v="A+"/>
    <x v="1"/>
    <x v="12"/>
    <n v="64862"/>
    <s v="HR. HELMUT WEINHAE"/>
    <n v="14"/>
    <d v="1959-08-26T00:00:00"/>
    <n v="68.3"/>
    <n v="64862"/>
  </r>
  <r>
    <x v="14"/>
    <x v="14"/>
    <x v="7"/>
    <s v="Milena"/>
    <m/>
    <s v="Schotin"/>
    <x v="14"/>
    <s v="Pisces"/>
    <x v="0"/>
    <s v="DE"/>
    <x v="3"/>
    <x v="2"/>
    <x v="14"/>
    <n v="105.3"/>
    <s v="Gray"/>
    <s v="O+"/>
    <x v="0"/>
    <x v="13"/>
    <n v="10241"/>
    <s v="PROF. MILENA SCHOTIN"/>
    <n v="15"/>
    <d v="1965-03-03T00:00:00"/>
    <n v="105.3"/>
    <n v="10241"/>
  </r>
  <r>
    <x v="15"/>
    <x v="15"/>
    <x v="6"/>
    <s v="Lothar"/>
    <m/>
    <s v="Birnbaum"/>
    <x v="15"/>
    <s v="Cancer"/>
    <x v="1"/>
    <s v="DE"/>
    <x v="3"/>
    <x v="2"/>
    <x v="15"/>
    <n v="48.6"/>
    <s v="Blue"/>
    <s v="O+"/>
    <x v="1"/>
    <x v="3"/>
    <n v="88762"/>
    <s v="HR. LOTHAR BIRNBAUM"/>
    <n v="16"/>
    <d v="1969-07-21T00:00:00"/>
    <n v="48.6"/>
    <n v="88762"/>
  </r>
  <r>
    <x v="16"/>
    <x v="16"/>
    <x v="6"/>
    <s v="Pietro"/>
    <m/>
    <s v="Stolze"/>
    <x v="16"/>
    <s v="Libra"/>
    <x v="1"/>
    <s v="DE"/>
    <x v="3"/>
    <x v="2"/>
    <x v="16"/>
    <n v="105.9"/>
    <s v="Blue"/>
    <s v="A−"/>
    <x v="0"/>
    <x v="14"/>
    <n v="80757"/>
    <s v="HR. PIETRO STOLZE"/>
    <n v="17"/>
    <d v="1972-10-10T00:00:00"/>
    <n v="105.9"/>
    <n v="80757"/>
  </r>
  <r>
    <x v="17"/>
    <x v="17"/>
    <x v="6"/>
    <s v="Richard "/>
    <m/>
    <s v="Tlustek"/>
    <x v="17"/>
    <s v="Virgo"/>
    <x v="1"/>
    <s v="DE"/>
    <x v="3"/>
    <x v="2"/>
    <x v="17"/>
    <n v="71.099999999999994"/>
    <s v="Blue"/>
    <s v="A−"/>
    <x v="1"/>
    <x v="15"/>
    <n v="88794"/>
    <s v="HR. RICHARD  TLUSTEK"/>
    <n v="18"/>
    <d v="1959-08-31T00:00:00"/>
    <n v="71.099999999999994"/>
    <n v="88794"/>
  </r>
  <r>
    <x v="18"/>
    <x v="18"/>
    <x v="2"/>
    <s v="Earnestine"/>
    <m/>
    <s v="Raynor"/>
    <x v="18"/>
    <s v="Taurus"/>
    <x v="0"/>
    <s v="OZ"/>
    <x v="4"/>
    <x v="0"/>
    <x v="18"/>
    <n v="70.3"/>
    <s v="Blue"/>
    <s v="A+"/>
    <x v="0"/>
    <x v="16"/>
    <n v="63526"/>
    <s v="DR. EARNESTINE RAYNOR"/>
    <n v="19"/>
    <d v="1977-05-17T00:00:00"/>
    <n v="70.3"/>
    <n v="63526"/>
  </r>
  <r>
    <x v="19"/>
    <x v="19"/>
    <x v="3"/>
    <s v="Jason"/>
    <m/>
    <s v="Gaylord"/>
    <x v="19"/>
    <s v="Capricorn"/>
    <x v="1"/>
    <s v="OZ"/>
    <x v="4"/>
    <x v="0"/>
    <x v="19"/>
    <n v="54.7"/>
    <s v="Brown"/>
    <s v="O−"/>
    <x v="0"/>
    <x v="17"/>
    <n v="46352"/>
    <s v="MR. JASON GAYLORD"/>
    <n v="20"/>
    <d v="1976-01-08T00:00:00"/>
    <n v="54.7"/>
    <n v="46352"/>
  </r>
  <r>
    <x v="20"/>
    <x v="20"/>
    <x v="3"/>
    <s v="Kendrick"/>
    <m/>
    <s v="Sauer"/>
    <x v="20"/>
    <s v="Cancer"/>
    <x v="1"/>
    <s v="OZ"/>
    <x v="4"/>
    <x v="0"/>
    <x v="20"/>
    <n v="100.9"/>
    <s v="Blue"/>
    <s v="B−"/>
    <x v="1"/>
    <x v="18"/>
    <n v="106808"/>
    <s v="MR. KENDRICK SAUER"/>
    <n v="21"/>
    <d v="1996-07-22T00:00:00"/>
    <n v="100.9"/>
    <n v="106808"/>
  </r>
  <r>
    <x v="21"/>
    <x v="21"/>
    <x v="2"/>
    <s v="Annabell"/>
    <m/>
    <s v="Olson"/>
    <x v="21"/>
    <s v="Aries"/>
    <x v="0"/>
    <s v="OZ"/>
    <x v="4"/>
    <x v="0"/>
    <x v="21"/>
    <n v="84.3"/>
    <s v="Green"/>
    <s v="A+"/>
    <x v="1"/>
    <x v="19"/>
    <n v="96468"/>
    <s v="DR. ANNABELL OLSON"/>
    <n v="22"/>
    <d v="1964-04-16T00:00:00"/>
    <n v="84.3"/>
    <n v="96468"/>
  </r>
  <r>
    <x v="22"/>
    <x v="22"/>
    <x v="2"/>
    <s v="Jena"/>
    <m/>
    <s v="Upton"/>
    <x v="22"/>
    <s v="Sagittarius"/>
    <x v="0"/>
    <s v="OZ"/>
    <x v="4"/>
    <x v="0"/>
    <x v="22"/>
    <n v="66.8"/>
    <s v="Blue"/>
    <s v="O+"/>
    <x v="1"/>
    <x v="20"/>
    <n v="16526"/>
    <s v="DR. JENA UPTON"/>
    <n v="23"/>
    <d v="1955-12-14T00:00:00"/>
    <n v="66.8"/>
    <n v="16526"/>
  </r>
  <r>
    <x v="23"/>
    <x v="23"/>
    <x v="2"/>
    <s v="Shanny"/>
    <m/>
    <s v="Bins"/>
    <x v="23"/>
    <s v="Virgo"/>
    <x v="0"/>
    <s v="OZ"/>
    <x v="4"/>
    <x v="0"/>
    <x v="23"/>
    <n v="59.4"/>
    <s v="Amber"/>
    <s v="B−"/>
    <x v="1"/>
    <x v="21"/>
    <n v="21891"/>
    <s v="DR. SHANNY BINS"/>
    <n v="24"/>
    <d v="1999-08-28T00:00:00"/>
    <n v="59.4"/>
    <n v="21891"/>
  </r>
  <r>
    <x v="24"/>
    <x v="24"/>
    <x v="2"/>
    <s v="Tia"/>
    <m/>
    <s v="Abshire"/>
    <x v="24"/>
    <s v="Cancer"/>
    <x v="0"/>
    <s v="OZ"/>
    <x v="4"/>
    <x v="0"/>
    <x v="24"/>
    <n v="77.8"/>
    <s v="Amber"/>
    <s v="A+"/>
    <x v="1"/>
    <x v="6"/>
    <n v="62037"/>
    <s v="DR. TIA ABSHIRE"/>
    <n v="25"/>
    <d v="1966-07-21T00:00:00"/>
    <n v="77.8"/>
    <n v="62037"/>
  </r>
  <r>
    <x v="25"/>
    <x v="25"/>
    <x v="0"/>
    <s v="Isabel"/>
    <m/>
    <s v="Runolfsdottir"/>
    <x v="25"/>
    <s v="Aries"/>
    <x v="0"/>
    <s v="OZ"/>
    <x v="4"/>
    <x v="0"/>
    <x v="25"/>
    <n v="85.9"/>
    <s v="Blue"/>
    <s v="B+"/>
    <x v="0"/>
    <x v="0"/>
    <n v="89737"/>
    <s v="MS. ISABEL RUNOLFSDOTTIR"/>
    <n v="26"/>
    <d v="1978-03-21T00:00:00"/>
    <n v="85.9"/>
    <n v="89737"/>
  </r>
  <r>
    <x v="26"/>
    <x v="26"/>
    <x v="6"/>
    <s v="Barney"/>
    <m/>
    <s v="Wesack"/>
    <x v="26"/>
    <s v="Cancer"/>
    <x v="1"/>
    <s v="AU"/>
    <x v="5"/>
    <x v="2"/>
    <x v="26"/>
    <n v="93.4"/>
    <s v="Amber"/>
    <s v="B+"/>
    <x v="0"/>
    <x v="22"/>
    <n v="41039"/>
    <s v="HR. BARNEY WESACK"/>
    <n v="27"/>
    <d v="1970-07-18T00:00:00"/>
    <n v="93.4"/>
    <n v="41039"/>
  </r>
  <r>
    <x v="27"/>
    <x v="27"/>
    <x v="6"/>
    <s v="Baruch"/>
    <m/>
    <s v="Kade"/>
    <x v="27"/>
    <s v="Pisces"/>
    <x v="1"/>
    <s v="AU"/>
    <x v="5"/>
    <x v="2"/>
    <x v="27"/>
    <n v="95.5"/>
    <s v="Gray"/>
    <s v="O−"/>
    <x v="1"/>
    <x v="11"/>
    <n v="28458"/>
    <s v="HR. BARUCH KADE"/>
    <n v="28"/>
    <d v="1982-03-10T00:00:00"/>
    <n v="95.5"/>
    <n v="28458"/>
  </r>
  <r>
    <x v="28"/>
    <x v="28"/>
    <x v="7"/>
    <s v="Liesbeth"/>
    <m/>
    <s v="Rosemann"/>
    <x v="28"/>
    <s v="Aquarius"/>
    <x v="0"/>
    <s v="AU"/>
    <x v="5"/>
    <x v="2"/>
    <x v="28"/>
    <n v="52.2"/>
    <s v="Blue"/>
    <s v="O+"/>
    <x v="1"/>
    <x v="6"/>
    <n v="55007"/>
    <s v="PROF. LIESBETH ROSEMANN"/>
    <n v="29"/>
    <d v="1994-01-27T00:00:00"/>
    <n v="52.2"/>
    <n v="55007"/>
  </r>
  <r>
    <x v="29"/>
    <x v="29"/>
    <x v="8"/>
    <s v="Valentine"/>
    <m/>
    <s v="Moreau"/>
    <x v="29"/>
    <s v="Libra"/>
    <x v="0"/>
    <s v="FR"/>
    <x v="6"/>
    <x v="3"/>
    <x v="29"/>
    <n v="74.599999999999994"/>
    <s v="Blue"/>
    <s v="B+"/>
    <x v="1"/>
    <x v="23"/>
    <n v="69041"/>
    <s v="MME. VALENTINE MOREAU"/>
    <n v="30"/>
    <d v="1979-10-09T00:00:00"/>
    <n v="74.599999999999994"/>
    <n v="69041"/>
  </r>
  <r>
    <x v="30"/>
    <x v="30"/>
    <x v="8"/>
    <s v="Paulette"/>
    <m/>
    <s v="Durand"/>
    <x v="30"/>
    <s v="Capricorn"/>
    <x v="0"/>
    <s v="FR"/>
    <x v="6"/>
    <x v="3"/>
    <x v="30"/>
    <n v="81.7"/>
    <s v="Amber"/>
    <s v="O−"/>
    <x v="0"/>
    <x v="22"/>
    <n v="86262"/>
    <s v="MME. PAULETTE DURAND"/>
    <n v="31"/>
    <d v="1989-12-25T00:00:00"/>
    <n v="81.7"/>
    <n v="86262"/>
  </r>
  <r>
    <x v="31"/>
    <x v="31"/>
    <x v="8"/>
    <s v="Laure-Alix"/>
    <m/>
    <s v="Chevalier"/>
    <x v="31"/>
    <s v="Capricorn"/>
    <x v="0"/>
    <s v="FR"/>
    <x v="6"/>
    <x v="3"/>
    <x v="31"/>
    <n v="78.099999999999994"/>
    <s v="Blue"/>
    <s v="O+"/>
    <x v="1"/>
    <x v="20"/>
    <n v="19234"/>
    <s v="MME. LAURE-ALIX CHEVALIER"/>
    <n v="32"/>
    <d v="1970-12-23T00:00:00"/>
    <n v="78.099999999999994"/>
    <n v="86262"/>
  </r>
  <r>
    <x v="32"/>
    <x v="32"/>
    <x v="9"/>
    <s v="Claude"/>
    <m/>
    <s v="Toussaint"/>
    <x v="32"/>
    <s v="Scorpio"/>
    <x v="1"/>
    <s v="FR"/>
    <x v="6"/>
    <x v="3"/>
    <x v="32"/>
    <n v="57.1"/>
    <s v="Green"/>
    <s v="O+"/>
    <x v="0"/>
    <x v="24"/>
    <n v="95123"/>
    <s v="M. CLAUDE TOUSSAINT"/>
    <n v="33"/>
    <d v="1980-11-04T00:00:00"/>
    <n v="57.1"/>
    <n v="86262"/>
  </r>
  <r>
    <x v="33"/>
    <x v="33"/>
    <x v="9"/>
    <s v="Victor"/>
    <m/>
    <s v="Lenoir"/>
    <x v="33"/>
    <s v="Libra"/>
    <x v="1"/>
    <s v="FR"/>
    <x v="6"/>
    <x v="3"/>
    <x v="33"/>
    <n v="56"/>
    <s v="Blue"/>
    <s v="B+"/>
    <x v="1"/>
    <x v="18"/>
    <n v="62761"/>
    <s v="M. VICTOR LENOIR"/>
    <n v="34"/>
    <d v="1981-10-16T00:00:00"/>
    <n v="56"/>
    <n v="86262"/>
  </r>
  <r>
    <x v="34"/>
    <x v="34"/>
    <x v="9"/>
    <s v="Arthur"/>
    <m/>
    <s v="Lenoir"/>
    <x v="34"/>
    <s v="Leo"/>
    <x v="1"/>
    <s v="FR"/>
    <x v="6"/>
    <x v="3"/>
    <x v="34"/>
    <n v="88.6"/>
    <s v="Amber"/>
    <s v="O+"/>
    <x v="1"/>
    <x v="25"/>
    <n v="108431"/>
    <s v="M. ARTHUR LENOIR"/>
    <n v="35"/>
    <d v="1955-07-30T00:00:00"/>
    <n v="88.6"/>
    <n v="86262"/>
  </r>
  <r>
    <x v="35"/>
    <x v="35"/>
    <x v="9"/>
    <s v="Benjamin"/>
    <m/>
    <s v="Lebrun-Brun"/>
    <x v="35"/>
    <s v="Aquarius"/>
    <x v="1"/>
    <s v="FR"/>
    <x v="6"/>
    <x v="3"/>
    <x v="35"/>
    <n v="78.2"/>
    <s v="Brown"/>
    <s v="O−"/>
    <x v="1"/>
    <x v="18"/>
    <n v="66268"/>
    <s v="M. BENJAMIN LEBRUN-BRUN"/>
    <n v="36"/>
    <d v="1975-02-03T00:00:00"/>
    <n v="78.2"/>
    <n v="86262"/>
  </r>
  <r>
    <x v="36"/>
    <x v="36"/>
    <x v="9"/>
    <s v="Antoine"/>
    <m/>
    <s v="Maillard"/>
    <x v="36"/>
    <s v="Cancer"/>
    <x v="1"/>
    <s v="FR"/>
    <x v="6"/>
    <x v="3"/>
    <x v="36"/>
    <n v="95.8"/>
    <s v="Blue"/>
    <s v="B−"/>
    <x v="1"/>
    <x v="26"/>
    <n v="33970"/>
    <s v="M. ANTOINE MAILLARD"/>
    <n v="37"/>
    <d v="1986-06-22T00:00:00"/>
    <n v="95.8"/>
    <n v="86262"/>
  </r>
  <r>
    <x v="37"/>
    <x v="37"/>
    <x v="9"/>
    <s v="Bernard"/>
    <m/>
    <s v="Hoarau-Guyon"/>
    <x v="37"/>
    <s v="Capricorn"/>
    <x v="1"/>
    <s v="FR"/>
    <x v="6"/>
    <x v="3"/>
    <x v="37"/>
    <n v="59.7"/>
    <s v="Gray"/>
    <s v="O−"/>
    <x v="0"/>
    <x v="0"/>
    <n v="71352"/>
    <s v="M. BERNARD HOARAU-GUYON"/>
    <n v="38"/>
    <d v="1983-01-11T00:00:00"/>
    <n v="59.7"/>
    <n v="86262"/>
  </r>
  <r>
    <x v="38"/>
    <x v="38"/>
    <x v="1"/>
    <s v="Hidalgo"/>
    <s v="Cantu"/>
    <s v="Tercero"/>
    <x v="38"/>
    <s v="Sagittarius"/>
    <x v="1"/>
    <s v="AG"/>
    <x v="7"/>
    <x v="4"/>
    <x v="38"/>
    <n v="77.7"/>
    <s v="Gray"/>
    <s v="B−"/>
    <x v="1"/>
    <x v="21"/>
    <n v="116376"/>
    <s v="SR. HIDALGO TERCERO"/>
    <n v="39"/>
    <d v="1984-11-30T00:00:00"/>
    <n v="77.7"/>
    <n v="86262"/>
  </r>
  <r>
    <x v="39"/>
    <x v="39"/>
    <x v="1"/>
    <s v="Hadalgo"/>
    <m/>
    <s v="Polanco"/>
    <x v="39"/>
    <s v="Gemini"/>
    <x v="1"/>
    <s v="AG"/>
    <x v="7"/>
    <x v="4"/>
    <x v="39"/>
    <n v="98"/>
    <s v="Blue"/>
    <s v="A−"/>
    <x v="1"/>
    <x v="20"/>
    <n v="114144"/>
    <s v="SR. HADALGO POLANCO"/>
    <n v="40"/>
    <d v="1988-06-20T00:00:00"/>
    <n v="98"/>
    <n v="86262"/>
  </r>
  <r>
    <x v="40"/>
    <x v="40"/>
    <x v="10"/>
    <s v="Laura"/>
    <m/>
    <s v="Oliviera"/>
    <x v="40"/>
    <s v="Aquarius"/>
    <x v="0"/>
    <s v="AG"/>
    <x v="7"/>
    <x v="4"/>
    <x v="40"/>
    <n v="51.9"/>
    <s v="Amber"/>
    <s v="O−"/>
    <x v="1"/>
    <x v="27"/>
    <n v="79872"/>
    <s v="SRA. LAURA OLIVIERA"/>
    <n v="41"/>
    <d v="1974-02-16T00:00:00"/>
    <n v="51.9"/>
    <n v="86262"/>
  </r>
  <r>
    <x v="41"/>
    <x v="41"/>
    <x v="10"/>
    <s v="Ainhoa"/>
    <m/>
    <s v="Garza"/>
    <x v="41"/>
    <s v="Pisces"/>
    <x v="0"/>
    <s v="ES"/>
    <x v="8"/>
    <x v="4"/>
    <x v="41"/>
    <n v="55.6"/>
    <s v="Brown"/>
    <s v="O+"/>
    <x v="0"/>
    <x v="28"/>
    <n v="101969"/>
    <s v="SRA. AINHOA GARZA"/>
    <n v="42"/>
    <d v="1990-03-09T00:00:00"/>
    <n v="55.6"/>
    <n v="86262"/>
  </r>
  <r>
    <x v="42"/>
    <x v="42"/>
    <x v="10"/>
    <s v="Isabel"/>
    <m/>
    <s v="Banda"/>
    <x v="42"/>
    <s v="Capricorn"/>
    <x v="0"/>
    <s v="ES"/>
    <x v="8"/>
    <x v="4"/>
    <x v="42"/>
    <n v="102.3"/>
    <s v="Amber"/>
    <s v="O+"/>
    <x v="1"/>
    <x v="21"/>
    <n v="50659"/>
    <s v="SRA. ISABEL BANDA"/>
    <n v="43"/>
    <d v="1960-01-12T00:00:00"/>
    <n v="102.3"/>
    <n v="86262"/>
  </r>
  <r>
    <x v="43"/>
    <x v="43"/>
    <x v="10"/>
    <s v="Carolota"/>
    <m/>
    <s v="Mateos"/>
    <x v="43"/>
    <s v="Leo"/>
    <x v="0"/>
    <s v="ES"/>
    <x v="8"/>
    <x v="4"/>
    <x v="43"/>
    <n v="58.8"/>
    <s v="Gray"/>
    <s v="O−"/>
    <x v="1"/>
    <x v="27"/>
    <n v="58215"/>
    <s v="SRA. CAROLOTA MATEOS"/>
    <n v="44"/>
    <d v="1965-07-29T00:00:00"/>
    <n v="58.8"/>
    <n v="86262"/>
  </r>
  <r>
    <x v="44"/>
    <x v="44"/>
    <x v="11"/>
    <s v="Elize"/>
    <m/>
    <s v="Prins"/>
    <x v="44"/>
    <s v="Taurus"/>
    <x v="0"/>
    <s v="DU"/>
    <x v="9"/>
    <x v="5"/>
    <x v="44"/>
    <n v="63.8"/>
    <s v="Blue"/>
    <s v="O+"/>
    <x v="0"/>
    <x v="29"/>
    <n v="39935"/>
    <s v="MW. ELIZE PRINS"/>
    <n v="45"/>
    <d v="1960-05-08T00:00:00"/>
    <n v="63.8"/>
    <n v="39935"/>
  </r>
  <r>
    <x v="45"/>
    <x v="45"/>
    <x v="12"/>
    <s v="Ryan"/>
    <m/>
    <s v="Pham"/>
    <x v="45"/>
    <s v="Libra"/>
    <x v="1"/>
    <s v="DU"/>
    <x v="9"/>
    <x v="5"/>
    <x v="45"/>
    <n v="98.6"/>
    <s v="Amber"/>
    <s v="B+"/>
    <x v="1"/>
    <x v="20"/>
    <n v="44865"/>
    <s v="DHR. RYAN PHAM"/>
    <n v="46"/>
    <d v="1973-10-03T00:00:00"/>
    <n v="98.6"/>
    <n v="44865"/>
  </r>
  <r>
    <x v="46"/>
    <x v="46"/>
    <x v="13"/>
    <s v="Elise"/>
    <m/>
    <s v="Rotteveel"/>
    <x v="46"/>
    <s v="Aries"/>
    <x v="0"/>
    <s v="DU"/>
    <x v="9"/>
    <x v="5"/>
    <x v="46"/>
    <n v="61.8"/>
    <s v="Gray"/>
    <s v="O−"/>
    <x v="1"/>
    <x v="20"/>
    <n v="90478"/>
    <s v="MW ELISE ROTTEVEEL"/>
    <n v="47"/>
    <d v="1968-04-08T00:00:00"/>
    <n v="61.8"/>
    <n v="90478"/>
  </r>
  <r>
    <x v="47"/>
    <x v="47"/>
    <x v="14"/>
    <s v="Mirjam"/>
    <m/>
    <s v="Soderberg"/>
    <x v="47"/>
    <s v="Taurus"/>
    <x v="0"/>
    <s v="SV"/>
    <x v="10"/>
    <x v="6"/>
    <x v="47"/>
    <n v="50"/>
    <s v="Amber"/>
    <s v="O+"/>
    <x v="1"/>
    <x v="2"/>
    <n v="38965"/>
    <s v="FRU. MIRJAM SODERBERG"/>
    <n v="48"/>
    <d v="1997-05-17T00:00:00"/>
    <n v="50"/>
    <n v="38965"/>
  </r>
  <r>
    <x v="48"/>
    <x v="48"/>
    <x v="15"/>
    <s v="Berndt"/>
    <m/>
    <s v="Palsson"/>
    <x v="48"/>
    <s v="Pisces"/>
    <x v="1"/>
    <s v="SV"/>
    <x v="10"/>
    <x v="6"/>
    <x v="48"/>
    <n v="45.9"/>
    <s v="Blue"/>
    <s v="A−"/>
    <x v="1"/>
    <x v="30"/>
    <n v="35387"/>
    <s v="H. BERNDT PALSSON"/>
    <n v="49"/>
    <d v="1987-02-24T00:00:00"/>
    <n v="45.9"/>
    <n v="35387"/>
  </r>
  <r>
    <x v="49"/>
    <x v="49"/>
    <x v="1"/>
    <s v="Adriano"/>
    <s v="Pontes"/>
    <s v="Sobrinho"/>
    <x v="49"/>
    <s v="Leo"/>
    <x v="1"/>
    <s v="PR"/>
    <x v="1"/>
    <x v="1"/>
    <x v="49"/>
    <n v="92.5"/>
    <s v="Green"/>
    <s v="A+"/>
    <x v="0"/>
    <x v="31"/>
    <n v="20532"/>
    <s v="SR. ADRIANO SOBRINHO"/>
    <n v="50"/>
    <d v="1993-07-28T00:00:00"/>
    <n v="92.5"/>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EAE3F6-4D5E-4475-B4D0-77315D3493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16" firstHeaderRow="1" firstDataRow="2" firstDataCol="1"/>
  <pivotFields count="27">
    <pivotField showAll="0"/>
    <pivotField showAll="0"/>
    <pivotField showAll="0"/>
    <pivotField showAll="0"/>
    <pivotField showAll="0"/>
    <pivotField showAll="0"/>
    <pivotField numFmtId="14"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Col" dataField="1"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4" showAll="0"/>
    <pivotField showAll="0"/>
    <pivotField showAll="0"/>
    <pivotField showAll="0"/>
    <pivotField showAll="0"/>
    <pivotField showAll="0"/>
    <pivotField showAll="0"/>
    <pivotField numFmtId="167" showAll="0"/>
    <pivotField numFmtId="165" showAll="0"/>
    <pivotField numFmtId="166" showAll="0"/>
    <pivotField numFmtId="168"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1">
    <field x="10"/>
  </rowFields>
  <rowItems count="12">
    <i>
      <x/>
    </i>
    <i>
      <x v="1"/>
    </i>
    <i>
      <x v="2"/>
    </i>
    <i>
      <x v="3"/>
    </i>
    <i>
      <x v="4"/>
    </i>
    <i>
      <x v="5"/>
    </i>
    <i>
      <x v="6"/>
    </i>
    <i>
      <x v="7"/>
    </i>
    <i>
      <x v="8"/>
    </i>
    <i>
      <x v="9"/>
    </i>
    <i>
      <x v="10"/>
    </i>
    <i t="grand">
      <x/>
    </i>
  </rowItems>
  <colFields count="1">
    <field x="8"/>
  </colFields>
  <colItems count="3">
    <i>
      <x/>
    </i>
    <i>
      <x v="1"/>
    </i>
    <i t="grand">
      <x/>
    </i>
  </colItems>
  <dataFields count="1">
    <dataField name="Count of GEND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602AD-34D7-49C5-A960-A65F0DDE4059}"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fieldListSortAscending="1">
  <location ref="A3:A453" firstHeaderRow="1" firstDataRow="1" firstDataCol="1" rowPageCount="1" colPageCount="1"/>
  <pivotFields count="27">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1">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 t="default"/>
      </items>
    </pivotField>
    <pivotField showAll="0"/>
    <pivotField showAll="0"/>
    <pivotField showAll="0"/>
    <pivotField showAll="0"/>
    <pivotField axis="axisRow" numFmtId="14"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Row" showAll="0">
      <items count="3">
        <item x="0"/>
        <item x="1"/>
        <item t="default"/>
      </items>
    </pivotField>
    <pivotField showAll="0"/>
    <pivotField axis="axisRow" showAll="0">
      <items count="12">
        <item x="7"/>
        <item x="4"/>
        <item x="5"/>
        <item x="1"/>
        <item x="6"/>
        <item x="3"/>
        <item x="9"/>
        <item x="8"/>
        <item x="10"/>
        <item x="2"/>
        <item x="0"/>
        <item t="default"/>
      </items>
    </pivotField>
    <pivotField axis="axisRow" showAll="0">
      <items count="8">
        <item x="5"/>
        <item x="0"/>
        <item x="3"/>
        <item x="2"/>
        <item x="1"/>
        <item x="4"/>
        <item x="6"/>
        <item t="default"/>
      </items>
    </pivotField>
    <pivotField axis="axisRow" showAll="0">
      <items count="51">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 t="default"/>
      </items>
    </pivotField>
    <pivotField numFmtId="164" showAll="0"/>
    <pivotField showAll="0"/>
    <pivotField showAll="0"/>
    <pivotField axis="axisPage" showAll="0">
      <items count="3">
        <item x="0"/>
        <item x="1"/>
        <item t="default"/>
      </items>
    </pivotField>
    <pivotField axis="axisRow" showAll="0">
      <items count="33">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 t="default"/>
      </items>
    </pivotField>
    <pivotField showAll="0"/>
    <pivotField showAll="0"/>
    <pivotField numFmtId="167" showAll="0"/>
    <pivotField numFmtId="165" showAll="0"/>
    <pivotField numFmtId="166" showAll="0"/>
    <pivotField numFmtId="168"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count="9">
    <field x="0"/>
    <field x="1"/>
    <field x="12"/>
    <field x="26"/>
    <field x="8"/>
    <field x="6"/>
    <field x="11"/>
    <field x="10"/>
    <field x="17"/>
  </rowFields>
  <rowItems count="450">
    <i>
      <x/>
    </i>
    <i r="1">
      <x v="32"/>
    </i>
    <i r="2">
      <x/>
    </i>
    <i r="3">
      <x v="43"/>
    </i>
    <i r="4">
      <x/>
    </i>
    <i r="5">
      <x v="47"/>
    </i>
    <i r="6">
      <x v="1"/>
    </i>
    <i r="7">
      <x v="10"/>
    </i>
    <i r="8">
      <x v="13"/>
    </i>
    <i>
      <x v="1"/>
    </i>
    <i r="1">
      <x v="33"/>
    </i>
    <i r="2">
      <x v="18"/>
    </i>
    <i r="3">
      <x v="38"/>
    </i>
    <i r="4">
      <x/>
    </i>
    <i r="5">
      <x v="41"/>
    </i>
    <i r="6">
      <x v="1"/>
    </i>
    <i r="7">
      <x v="10"/>
    </i>
    <i r="8">
      <x v="6"/>
    </i>
    <i>
      <x v="2"/>
    </i>
    <i r="1">
      <x v="45"/>
    </i>
    <i r="2">
      <x v="10"/>
    </i>
    <i r="3">
      <x v="15"/>
    </i>
    <i r="4">
      <x v="1"/>
    </i>
    <i r="5">
      <x v="13"/>
    </i>
    <i r="6">
      <x v="4"/>
    </i>
    <i r="7">
      <x v="3"/>
    </i>
    <i r="8">
      <x v="17"/>
    </i>
    <i>
      <x v="3"/>
    </i>
    <i r="1">
      <x v="34"/>
    </i>
    <i r="2">
      <x v="7"/>
    </i>
    <i r="3">
      <x v="21"/>
    </i>
    <i r="4">
      <x/>
    </i>
    <i r="5">
      <x v="23"/>
    </i>
    <i r="6">
      <x v="1"/>
    </i>
    <i r="7">
      <x v="10"/>
    </i>
    <i r="8">
      <x/>
    </i>
    <i>
      <x v="4"/>
    </i>
    <i r="1">
      <x v="3"/>
    </i>
    <i r="2">
      <x v="5"/>
    </i>
    <i r="3">
      <x v="16"/>
    </i>
    <i r="4">
      <x v="1"/>
    </i>
    <i r="5">
      <x v="15"/>
    </i>
    <i r="6">
      <x v="1"/>
    </i>
    <i r="7">
      <x v="10"/>
    </i>
    <i r="8">
      <x v="31"/>
    </i>
    <i>
      <x v="5"/>
    </i>
    <i r="1">
      <x v="26"/>
    </i>
    <i r="2">
      <x v="19"/>
    </i>
    <i r="3">
      <x v="38"/>
    </i>
    <i r="4">
      <x v="1"/>
    </i>
    <i r="5">
      <x v="42"/>
    </i>
    <i r="6">
      <x v="1"/>
    </i>
    <i r="7">
      <x v="10"/>
    </i>
    <i r="8">
      <x v="16"/>
    </i>
    <i>
      <x v="6"/>
    </i>
    <i r="1">
      <x v="31"/>
    </i>
    <i r="2">
      <x v="9"/>
    </i>
    <i r="3">
      <x v="45"/>
    </i>
    <i r="4">
      <x/>
    </i>
    <i r="5">
      <x v="48"/>
    </i>
    <i r="6">
      <x v="1"/>
    </i>
    <i r="7">
      <x v="10"/>
    </i>
    <i r="8">
      <x v="12"/>
    </i>
    <i>
      <x v="7"/>
    </i>
    <i r="1">
      <x v="27"/>
    </i>
    <i r="2">
      <x v="30"/>
    </i>
    <i r="3">
      <x v="9"/>
    </i>
    <i r="4">
      <x v="1"/>
    </i>
    <i r="5">
      <x v="6"/>
    </i>
    <i r="6">
      <x v="1"/>
    </i>
    <i r="7">
      <x v="10"/>
    </i>
    <i r="8">
      <x v="9"/>
    </i>
    <i>
      <x v="8"/>
    </i>
    <i r="1">
      <x v="30"/>
    </i>
    <i r="2">
      <x v="41"/>
    </i>
    <i r="3">
      <x v="17"/>
    </i>
    <i r="4">
      <x/>
    </i>
    <i r="5">
      <x v="18"/>
    </i>
    <i r="6">
      <x v="1"/>
    </i>
    <i r="7">
      <x v="9"/>
    </i>
    <i r="8">
      <x v="26"/>
    </i>
    <i>
      <x v="9"/>
    </i>
    <i r="1">
      <x v="28"/>
    </i>
    <i r="2">
      <x v="38"/>
    </i>
    <i r="3">
      <x v="10"/>
    </i>
    <i r="4">
      <x v="1"/>
    </i>
    <i r="5">
      <x v="8"/>
    </i>
    <i r="6">
      <x v="1"/>
    </i>
    <i r="7">
      <x v="9"/>
    </i>
    <i r="8">
      <x v="12"/>
    </i>
    <i>
      <x v="10"/>
    </i>
    <i r="1">
      <x v="41"/>
    </i>
    <i r="2">
      <x v="23"/>
    </i>
    <i r="3">
      <x v="32"/>
    </i>
    <i r="4">
      <x v="1"/>
    </i>
    <i r="5">
      <x v="36"/>
    </i>
    <i r="6">
      <x v="1"/>
    </i>
    <i r="7">
      <x v="9"/>
    </i>
    <i r="8">
      <x v="18"/>
    </i>
    <i>
      <x v="11"/>
    </i>
    <i r="1">
      <x v="29"/>
    </i>
    <i r="2">
      <x v="49"/>
    </i>
    <i r="3">
      <x v="23"/>
    </i>
    <i r="4">
      <x/>
    </i>
    <i r="5">
      <x v="27"/>
    </i>
    <i r="6">
      <x v="1"/>
    </i>
    <i r="7">
      <x v="9"/>
    </i>
    <i r="8">
      <x v="1"/>
    </i>
    <i>
      <x v="12"/>
    </i>
    <i r="1">
      <x v="36"/>
    </i>
    <i r="2">
      <x v="37"/>
    </i>
    <i r="3">
      <x v="23"/>
    </i>
    <i r="4">
      <x/>
    </i>
    <i r="5">
      <x v="25"/>
    </i>
    <i r="6">
      <x v="1"/>
    </i>
    <i r="7">
      <x v="9"/>
    </i>
    <i r="8">
      <x v="24"/>
    </i>
    <i>
      <x v="13"/>
    </i>
    <i r="1">
      <x v="11"/>
    </i>
    <i r="2">
      <x v="47"/>
    </i>
    <i r="3">
      <x v="5"/>
    </i>
    <i r="4">
      <x v="1"/>
    </i>
    <i r="5">
      <x v="2"/>
    </i>
    <i r="6">
      <x v="3"/>
    </i>
    <i r="7">
      <x v="5"/>
    </i>
    <i r="8">
      <x v="8"/>
    </i>
    <i>
      <x v="14"/>
    </i>
    <i r="1">
      <x v="40"/>
    </i>
    <i r="2">
      <x v="36"/>
    </i>
    <i r="3">
      <x v="11"/>
    </i>
    <i r="4">
      <x/>
    </i>
    <i r="5">
      <x v="9"/>
    </i>
    <i r="6">
      <x v="3"/>
    </i>
    <i r="7">
      <x v="5"/>
    </i>
    <i r="8">
      <x v="10"/>
    </i>
    <i>
      <x v="15"/>
    </i>
    <i r="1">
      <x v="12"/>
    </i>
    <i r="2">
      <x v="4"/>
    </i>
    <i r="3">
      <x v="15"/>
    </i>
    <i r="4">
      <x v="1"/>
    </i>
    <i r="5">
      <x v="14"/>
    </i>
    <i r="6">
      <x v="3"/>
    </i>
    <i r="7">
      <x v="5"/>
    </i>
    <i r="8">
      <x/>
    </i>
    <i>
      <x v="16"/>
    </i>
    <i r="1">
      <x v="13"/>
    </i>
    <i r="2">
      <x v="42"/>
    </i>
    <i r="3">
      <x v="18"/>
    </i>
    <i r="4">
      <x v="1"/>
    </i>
    <i r="5">
      <x v="19"/>
    </i>
    <i r="6">
      <x v="3"/>
    </i>
    <i r="7">
      <x v="5"/>
    </i>
    <i r="8">
      <x v="21"/>
    </i>
    <i>
      <x v="17"/>
    </i>
    <i r="1">
      <x v="14"/>
    </i>
    <i r="2">
      <x v="44"/>
    </i>
    <i r="3">
      <x v="5"/>
    </i>
    <i r="4">
      <x v="1"/>
    </i>
    <i r="5">
      <x v="3"/>
    </i>
    <i r="6">
      <x v="3"/>
    </i>
    <i r="7">
      <x v="5"/>
    </i>
    <i r="8">
      <x v="11"/>
    </i>
    <i>
      <x v="18"/>
    </i>
    <i r="1">
      <x v="2"/>
    </i>
    <i r="2">
      <x v="31"/>
    </i>
    <i r="3">
      <x v="23"/>
    </i>
    <i r="4">
      <x/>
    </i>
    <i r="5">
      <x v="26"/>
    </i>
    <i r="6">
      <x v="1"/>
    </i>
    <i r="7">
      <x v="1"/>
    </i>
    <i r="8">
      <x v="27"/>
    </i>
    <i>
      <x v="19"/>
    </i>
    <i r="1">
      <x v="24"/>
    </i>
    <i r="2">
      <x v="12"/>
    </i>
    <i r="3">
      <x v="22"/>
    </i>
    <i r="4">
      <x v="1"/>
    </i>
    <i r="5">
      <x v="24"/>
    </i>
    <i r="6">
      <x v="1"/>
    </i>
    <i r="7">
      <x v="1"/>
    </i>
    <i r="8">
      <x v="3"/>
    </i>
    <i>
      <x v="20"/>
    </i>
    <i r="1">
      <x v="25"/>
    </i>
    <i r="2">
      <x v="35"/>
    </i>
    <i r="3">
      <x v="42"/>
    </i>
    <i r="4">
      <x v="1"/>
    </i>
    <i r="5">
      <x v="45"/>
    </i>
    <i r="6">
      <x v="1"/>
    </i>
    <i r="7">
      <x v="1"/>
    </i>
    <i r="8">
      <x v="29"/>
    </i>
    <i>
      <x v="21"/>
    </i>
    <i r="1">
      <x v="1"/>
    </i>
    <i r="2">
      <x v="25"/>
    </i>
    <i r="3">
      <x v="10"/>
    </i>
    <i r="4">
      <x/>
    </i>
    <i r="5">
      <x v="7"/>
    </i>
    <i r="6">
      <x v="1"/>
    </i>
    <i r="7">
      <x v="1"/>
    </i>
    <i r="8">
      <x v="15"/>
    </i>
    <i>
      <x v="22"/>
    </i>
    <i r="1">
      <x v="4"/>
    </i>
    <i r="2">
      <x v="46"/>
    </i>
    <i r="3">
      <x v="1"/>
    </i>
    <i r="4">
      <x/>
    </i>
    <i r="5">
      <x v="1"/>
    </i>
    <i r="6">
      <x v="1"/>
    </i>
    <i r="7">
      <x v="1"/>
    </i>
    <i r="8">
      <x v="4"/>
    </i>
    <i>
      <x v="23"/>
    </i>
    <i r="1">
      <x v="5"/>
    </i>
    <i r="2">
      <x v="3"/>
    </i>
    <i r="3">
      <x v="45"/>
    </i>
    <i r="4">
      <x/>
    </i>
    <i r="5">
      <x v="49"/>
    </i>
    <i r="6">
      <x v="1"/>
    </i>
    <i r="7">
      <x v="1"/>
    </i>
    <i r="8">
      <x v="7"/>
    </i>
    <i>
      <x v="24"/>
    </i>
    <i r="1">
      <x v="6"/>
    </i>
    <i r="2">
      <x v="1"/>
    </i>
    <i r="3">
      <x v="12"/>
    </i>
    <i r="4">
      <x/>
    </i>
    <i r="5">
      <x v="11"/>
    </i>
    <i r="6">
      <x v="1"/>
    </i>
    <i r="7">
      <x v="1"/>
    </i>
    <i r="8">
      <x v="12"/>
    </i>
    <i>
      <x v="25"/>
    </i>
    <i r="1">
      <x v="35"/>
    </i>
    <i r="2">
      <x v="34"/>
    </i>
    <i r="3">
      <x v="24"/>
    </i>
    <i r="4">
      <x/>
    </i>
    <i r="5">
      <x v="28"/>
    </i>
    <i r="6">
      <x v="1"/>
    </i>
    <i r="7">
      <x v="1"/>
    </i>
    <i r="8">
      <x v="13"/>
    </i>
    <i>
      <x v="26"/>
    </i>
    <i r="1">
      <x v="9"/>
    </i>
    <i r="2">
      <x v="48"/>
    </i>
    <i r="3">
      <x v="16"/>
    </i>
    <i r="4">
      <x v="1"/>
    </i>
    <i r="5">
      <x v="16"/>
    </i>
    <i r="6">
      <x v="3"/>
    </i>
    <i r="7">
      <x v="2"/>
    </i>
    <i r="8">
      <x v="30"/>
    </i>
    <i>
      <x v="27"/>
    </i>
    <i r="1">
      <x v="10"/>
    </i>
    <i r="2">
      <x v="14"/>
    </i>
    <i r="3">
      <x v="28"/>
    </i>
    <i r="4">
      <x v="1"/>
    </i>
    <i r="5">
      <x v="32"/>
    </i>
    <i r="6">
      <x v="3"/>
    </i>
    <i r="7">
      <x v="2"/>
    </i>
    <i r="8">
      <x v="24"/>
    </i>
    <i>
      <x v="28"/>
    </i>
    <i r="1">
      <x v="39"/>
    </i>
    <i r="2">
      <x v="32"/>
    </i>
    <i r="3">
      <x v="40"/>
    </i>
    <i r="4">
      <x/>
    </i>
    <i r="5">
      <x v="44"/>
    </i>
    <i r="6">
      <x v="3"/>
    </i>
    <i r="7">
      <x v="2"/>
    </i>
    <i r="8">
      <x v="12"/>
    </i>
    <i>
      <x v="29"/>
    </i>
    <i r="1">
      <x v="23"/>
    </i>
    <i r="2">
      <x v="22"/>
    </i>
    <i r="3">
      <x v="25"/>
    </i>
    <i r="4">
      <x/>
    </i>
    <i r="5">
      <x v="29"/>
    </i>
    <i r="6">
      <x v="2"/>
    </i>
    <i r="7">
      <x v="4"/>
    </i>
    <i r="8">
      <x v="19"/>
    </i>
    <i>
      <x v="30"/>
    </i>
    <i r="1">
      <x v="22"/>
    </i>
    <i r="2">
      <x v="8"/>
    </i>
    <i r="3">
      <x v="35"/>
    </i>
    <i r="4">
      <x/>
    </i>
    <i r="5">
      <x v="39"/>
    </i>
    <i r="6">
      <x v="2"/>
    </i>
    <i r="7">
      <x v="4"/>
    </i>
    <i r="8">
      <x v="30"/>
    </i>
    <i>
      <x v="31"/>
    </i>
    <i r="1">
      <x v="21"/>
    </i>
    <i r="2">
      <x v="6"/>
    </i>
    <i r="3">
      <x v="16"/>
    </i>
    <i r="4">
      <x/>
    </i>
    <i r="5">
      <x v="17"/>
    </i>
    <i r="6">
      <x v="2"/>
    </i>
    <i r="7">
      <x v="4"/>
    </i>
    <i r="8">
      <x v="4"/>
    </i>
    <i>
      <x v="32"/>
    </i>
    <i r="1">
      <x v="19"/>
    </i>
    <i r="2">
      <x v="45"/>
    </i>
    <i r="3">
      <x v="26"/>
    </i>
    <i r="4">
      <x v="1"/>
    </i>
    <i r="5">
      <x v="30"/>
    </i>
    <i r="6">
      <x v="2"/>
    </i>
    <i r="7">
      <x v="4"/>
    </i>
    <i r="8">
      <x v="14"/>
    </i>
    <i>
      <x v="33"/>
    </i>
    <i r="1">
      <x v="20"/>
    </i>
    <i r="2">
      <x v="17"/>
    </i>
    <i r="3">
      <x v="27"/>
    </i>
    <i r="4">
      <x v="1"/>
    </i>
    <i r="5">
      <x v="31"/>
    </i>
    <i r="6">
      <x v="2"/>
    </i>
    <i r="7">
      <x v="4"/>
    </i>
    <i r="8">
      <x v="29"/>
    </i>
    <i>
      <x v="34"/>
    </i>
    <i r="1">
      <x v="16"/>
    </i>
    <i r="2">
      <x v="16"/>
    </i>
    <i r="3">
      <x v="1"/>
    </i>
    <i r="4">
      <x v="1"/>
    </i>
    <i r="5">
      <x/>
    </i>
    <i r="6">
      <x v="2"/>
    </i>
    <i r="7">
      <x v="4"/>
    </i>
    <i r="8">
      <x v="22"/>
    </i>
    <i>
      <x v="35"/>
    </i>
    <i r="1">
      <x v="17"/>
    </i>
    <i r="2">
      <x v="15"/>
    </i>
    <i r="3">
      <x v="21"/>
    </i>
    <i r="4">
      <x v="1"/>
    </i>
    <i r="5">
      <x v="22"/>
    </i>
    <i r="6">
      <x v="2"/>
    </i>
    <i r="7">
      <x v="4"/>
    </i>
    <i r="8">
      <x v="29"/>
    </i>
    <i>
      <x v="36"/>
    </i>
    <i r="1">
      <x v="15"/>
    </i>
    <i r="2">
      <x v="20"/>
    </i>
    <i r="3">
      <x v="32"/>
    </i>
    <i r="4">
      <x v="1"/>
    </i>
    <i r="5">
      <x v="35"/>
    </i>
    <i r="6">
      <x v="2"/>
    </i>
    <i r="7">
      <x v="4"/>
    </i>
    <i r="8">
      <x v="25"/>
    </i>
    <i>
      <x v="37"/>
    </i>
    <i r="1">
      <x v="18"/>
    </i>
    <i r="2">
      <x v="13"/>
    </i>
    <i r="3">
      <x v="29"/>
    </i>
    <i r="4">
      <x v="1"/>
    </i>
    <i r="5">
      <x v="33"/>
    </i>
    <i r="6">
      <x v="2"/>
    </i>
    <i r="7">
      <x v="4"/>
    </i>
    <i r="8">
      <x v="13"/>
    </i>
    <i>
      <x v="38"/>
    </i>
    <i r="1">
      <x v="44"/>
    </i>
    <i r="2">
      <x v="43"/>
    </i>
    <i r="3">
      <x v="30"/>
    </i>
    <i r="4">
      <x v="1"/>
    </i>
    <i r="5">
      <x v="34"/>
    </i>
    <i r="6">
      <x v="5"/>
    </i>
    <i r="7">
      <x/>
    </i>
    <i r="8">
      <x v="7"/>
    </i>
    <i>
      <x v="39"/>
    </i>
    <i r="1">
      <x v="43"/>
    </i>
    <i r="2">
      <x v="28"/>
    </i>
    <i r="3">
      <x v="34"/>
    </i>
    <i r="4">
      <x v="1"/>
    </i>
    <i r="5">
      <x v="38"/>
    </i>
    <i r="6">
      <x v="5"/>
    </i>
    <i r="7">
      <x/>
    </i>
    <i r="8">
      <x v="4"/>
    </i>
    <i>
      <x v="40"/>
    </i>
    <i r="1">
      <x v="49"/>
    </i>
    <i r="2">
      <x v="24"/>
    </i>
    <i r="3">
      <x v="20"/>
    </i>
    <i r="4">
      <x/>
    </i>
    <i r="5">
      <x v="21"/>
    </i>
    <i r="6">
      <x v="5"/>
    </i>
    <i r="7">
      <x/>
    </i>
    <i r="8">
      <x v="2"/>
    </i>
    <i>
      <x v="41"/>
    </i>
    <i r="1">
      <x v="46"/>
    </i>
    <i r="2">
      <x v="11"/>
    </i>
    <i r="3">
      <x v="36"/>
    </i>
    <i r="4">
      <x/>
    </i>
    <i r="5">
      <x v="40"/>
    </i>
    <i r="6">
      <x v="5"/>
    </i>
    <i r="7">
      <x v="7"/>
    </i>
    <i r="8">
      <x v="20"/>
    </i>
    <i>
      <x v="42"/>
    </i>
    <i r="1">
      <x v="48"/>
    </i>
    <i r="2">
      <x v="2"/>
    </i>
    <i r="3">
      <x v="6"/>
    </i>
    <i r="4">
      <x/>
    </i>
    <i r="5">
      <x v="4"/>
    </i>
    <i r="6">
      <x v="5"/>
    </i>
    <i r="7">
      <x v="7"/>
    </i>
    <i r="8">
      <x v="7"/>
    </i>
    <i>
      <x v="43"/>
    </i>
    <i r="1">
      <x v="47"/>
    </i>
    <i r="2">
      <x v="21"/>
    </i>
    <i r="3">
      <x v="11"/>
    </i>
    <i r="4">
      <x/>
    </i>
    <i r="5">
      <x v="10"/>
    </i>
    <i r="6">
      <x v="5"/>
    </i>
    <i r="7">
      <x v="7"/>
    </i>
    <i r="8">
      <x v="2"/>
    </i>
    <i>
      <x v="44"/>
    </i>
    <i r="1">
      <x v="38"/>
    </i>
    <i r="2">
      <x v="29"/>
    </i>
    <i r="3">
      <x v="6"/>
    </i>
    <i r="4">
      <x/>
    </i>
    <i r="5">
      <x v="5"/>
    </i>
    <i r="6">
      <x/>
    </i>
    <i r="7">
      <x v="6"/>
    </i>
    <i r="8">
      <x v="23"/>
    </i>
    <i>
      <x v="45"/>
    </i>
    <i r="1">
      <x/>
    </i>
    <i r="2">
      <x v="27"/>
    </i>
    <i r="3">
      <x v="19"/>
    </i>
    <i r="4">
      <x v="1"/>
    </i>
    <i r="5">
      <x v="20"/>
    </i>
    <i r="6">
      <x/>
    </i>
    <i r="7">
      <x v="6"/>
    </i>
    <i r="8">
      <x v="4"/>
    </i>
    <i>
      <x v="46"/>
    </i>
    <i r="1">
      <x v="37"/>
    </i>
    <i r="2">
      <x v="33"/>
    </i>
    <i r="3">
      <x v="14"/>
    </i>
    <i r="4">
      <x/>
    </i>
    <i r="5">
      <x v="12"/>
    </i>
    <i r="6">
      <x/>
    </i>
    <i r="7">
      <x v="6"/>
    </i>
    <i r="8">
      <x v="4"/>
    </i>
    <i>
      <x v="47"/>
    </i>
    <i r="1">
      <x v="7"/>
    </i>
    <i r="2">
      <x v="40"/>
    </i>
    <i r="3">
      <x v="43"/>
    </i>
    <i r="4">
      <x/>
    </i>
    <i r="5">
      <x v="46"/>
    </i>
    <i r="6">
      <x v="6"/>
    </i>
    <i r="7">
      <x v="8"/>
    </i>
    <i r="8">
      <x v="17"/>
    </i>
    <i>
      <x v="48"/>
    </i>
    <i r="1">
      <x v="8"/>
    </i>
    <i r="2">
      <x v="26"/>
    </i>
    <i r="3">
      <x v="33"/>
    </i>
    <i r="4">
      <x v="1"/>
    </i>
    <i r="5">
      <x v="37"/>
    </i>
    <i r="6">
      <x v="6"/>
    </i>
    <i r="7">
      <x v="8"/>
    </i>
    <i r="8">
      <x v="5"/>
    </i>
    <i>
      <x v="49"/>
    </i>
    <i r="1">
      <x v="42"/>
    </i>
    <i r="2">
      <x v="39"/>
    </i>
    <i r="3">
      <x v="39"/>
    </i>
    <i r="4">
      <x v="1"/>
    </i>
    <i r="5">
      <x v="43"/>
    </i>
    <i r="6">
      <x v="4"/>
    </i>
    <i r="7">
      <x v="3"/>
    </i>
    <i r="8">
      <x v="28"/>
    </i>
  </rowItems>
  <colItems count="1">
    <i/>
  </colItems>
  <pageFields count="1">
    <pageField fld="16" hier="-1"/>
  </pageFields>
  <formats count="682">
    <format dxfId="681">
      <pivotArea type="all" dataOnly="0" outline="0" fieldPosition="0"/>
    </format>
    <format dxfId="680">
      <pivotArea field="0" type="button" dataOnly="0" labelOnly="1" outline="0" axis="axisRow" fieldPosition="0"/>
    </format>
    <format dxfId="679">
      <pivotArea dataOnly="0" labelOnly="1" fieldPosition="0">
        <references count="1">
          <reference field="0" count="0"/>
        </references>
      </pivotArea>
    </format>
    <format dxfId="678">
      <pivotArea dataOnly="0" labelOnly="1" fieldPosition="0">
        <references count="2">
          <reference field="0" count="1" selected="0">
            <x v="0"/>
          </reference>
          <reference field="1" count="1">
            <x v="32"/>
          </reference>
        </references>
      </pivotArea>
    </format>
    <format dxfId="677">
      <pivotArea dataOnly="0" labelOnly="1" fieldPosition="0">
        <references count="2">
          <reference field="0" count="1" selected="0">
            <x v="1"/>
          </reference>
          <reference field="1" count="1">
            <x v="33"/>
          </reference>
        </references>
      </pivotArea>
    </format>
    <format dxfId="676">
      <pivotArea dataOnly="0" labelOnly="1" fieldPosition="0">
        <references count="2">
          <reference field="0" count="1" selected="0">
            <x v="2"/>
          </reference>
          <reference field="1" count="1">
            <x v="45"/>
          </reference>
        </references>
      </pivotArea>
    </format>
    <format dxfId="675">
      <pivotArea dataOnly="0" labelOnly="1" fieldPosition="0">
        <references count="2">
          <reference field="0" count="1" selected="0">
            <x v="3"/>
          </reference>
          <reference field="1" count="1">
            <x v="34"/>
          </reference>
        </references>
      </pivotArea>
    </format>
    <format dxfId="674">
      <pivotArea dataOnly="0" labelOnly="1" fieldPosition="0">
        <references count="2">
          <reference field="0" count="1" selected="0">
            <x v="4"/>
          </reference>
          <reference field="1" count="1">
            <x v="3"/>
          </reference>
        </references>
      </pivotArea>
    </format>
    <format dxfId="673">
      <pivotArea dataOnly="0" labelOnly="1" fieldPosition="0">
        <references count="2">
          <reference field="0" count="1" selected="0">
            <x v="5"/>
          </reference>
          <reference field="1" count="1">
            <x v="26"/>
          </reference>
        </references>
      </pivotArea>
    </format>
    <format dxfId="672">
      <pivotArea dataOnly="0" labelOnly="1" fieldPosition="0">
        <references count="2">
          <reference field="0" count="1" selected="0">
            <x v="6"/>
          </reference>
          <reference field="1" count="1">
            <x v="31"/>
          </reference>
        </references>
      </pivotArea>
    </format>
    <format dxfId="671">
      <pivotArea dataOnly="0" labelOnly="1" fieldPosition="0">
        <references count="2">
          <reference field="0" count="1" selected="0">
            <x v="7"/>
          </reference>
          <reference field="1" count="1">
            <x v="27"/>
          </reference>
        </references>
      </pivotArea>
    </format>
    <format dxfId="670">
      <pivotArea dataOnly="0" labelOnly="1" fieldPosition="0">
        <references count="2">
          <reference field="0" count="1" selected="0">
            <x v="8"/>
          </reference>
          <reference field="1" count="1">
            <x v="30"/>
          </reference>
        </references>
      </pivotArea>
    </format>
    <format dxfId="669">
      <pivotArea dataOnly="0" labelOnly="1" fieldPosition="0">
        <references count="2">
          <reference field="0" count="1" selected="0">
            <x v="9"/>
          </reference>
          <reference field="1" count="1">
            <x v="28"/>
          </reference>
        </references>
      </pivotArea>
    </format>
    <format dxfId="668">
      <pivotArea dataOnly="0" labelOnly="1" fieldPosition="0">
        <references count="2">
          <reference field="0" count="1" selected="0">
            <x v="10"/>
          </reference>
          <reference field="1" count="1">
            <x v="41"/>
          </reference>
        </references>
      </pivotArea>
    </format>
    <format dxfId="667">
      <pivotArea dataOnly="0" labelOnly="1" fieldPosition="0">
        <references count="2">
          <reference field="0" count="1" selected="0">
            <x v="11"/>
          </reference>
          <reference field="1" count="1">
            <x v="29"/>
          </reference>
        </references>
      </pivotArea>
    </format>
    <format dxfId="666">
      <pivotArea dataOnly="0" labelOnly="1" fieldPosition="0">
        <references count="2">
          <reference field="0" count="1" selected="0">
            <x v="12"/>
          </reference>
          <reference field="1" count="1">
            <x v="36"/>
          </reference>
        </references>
      </pivotArea>
    </format>
    <format dxfId="665">
      <pivotArea dataOnly="0" labelOnly="1" fieldPosition="0">
        <references count="2">
          <reference field="0" count="1" selected="0">
            <x v="13"/>
          </reference>
          <reference field="1" count="1">
            <x v="11"/>
          </reference>
        </references>
      </pivotArea>
    </format>
    <format dxfId="664">
      <pivotArea dataOnly="0" labelOnly="1" fieldPosition="0">
        <references count="2">
          <reference field="0" count="1" selected="0">
            <x v="14"/>
          </reference>
          <reference field="1" count="1">
            <x v="40"/>
          </reference>
        </references>
      </pivotArea>
    </format>
    <format dxfId="663">
      <pivotArea dataOnly="0" labelOnly="1" fieldPosition="0">
        <references count="2">
          <reference field="0" count="1" selected="0">
            <x v="15"/>
          </reference>
          <reference field="1" count="1">
            <x v="12"/>
          </reference>
        </references>
      </pivotArea>
    </format>
    <format dxfId="662">
      <pivotArea dataOnly="0" labelOnly="1" fieldPosition="0">
        <references count="2">
          <reference field="0" count="1" selected="0">
            <x v="16"/>
          </reference>
          <reference field="1" count="1">
            <x v="13"/>
          </reference>
        </references>
      </pivotArea>
    </format>
    <format dxfId="661">
      <pivotArea dataOnly="0" labelOnly="1" fieldPosition="0">
        <references count="2">
          <reference field="0" count="1" selected="0">
            <x v="17"/>
          </reference>
          <reference field="1" count="1">
            <x v="14"/>
          </reference>
        </references>
      </pivotArea>
    </format>
    <format dxfId="660">
      <pivotArea dataOnly="0" labelOnly="1" fieldPosition="0">
        <references count="2">
          <reference field="0" count="1" selected="0">
            <x v="18"/>
          </reference>
          <reference field="1" count="1">
            <x v="2"/>
          </reference>
        </references>
      </pivotArea>
    </format>
    <format dxfId="659">
      <pivotArea dataOnly="0" labelOnly="1" fieldPosition="0">
        <references count="2">
          <reference field="0" count="1" selected="0">
            <x v="19"/>
          </reference>
          <reference field="1" count="1">
            <x v="24"/>
          </reference>
        </references>
      </pivotArea>
    </format>
    <format dxfId="658">
      <pivotArea dataOnly="0" labelOnly="1" fieldPosition="0">
        <references count="2">
          <reference field="0" count="1" selected="0">
            <x v="20"/>
          </reference>
          <reference field="1" count="1">
            <x v="25"/>
          </reference>
        </references>
      </pivotArea>
    </format>
    <format dxfId="657">
      <pivotArea dataOnly="0" labelOnly="1" fieldPosition="0">
        <references count="2">
          <reference field="0" count="1" selected="0">
            <x v="21"/>
          </reference>
          <reference field="1" count="1">
            <x v="1"/>
          </reference>
        </references>
      </pivotArea>
    </format>
    <format dxfId="656">
      <pivotArea dataOnly="0" labelOnly="1" fieldPosition="0">
        <references count="2">
          <reference field="0" count="1" selected="0">
            <x v="22"/>
          </reference>
          <reference field="1" count="1">
            <x v="4"/>
          </reference>
        </references>
      </pivotArea>
    </format>
    <format dxfId="655">
      <pivotArea dataOnly="0" labelOnly="1" fieldPosition="0">
        <references count="2">
          <reference field="0" count="1" selected="0">
            <x v="23"/>
          </reference>
          <reference field="1" count="1">
            <x v="5"/>
          </reference>
        </references>
      </pivotArea>
    </format>
    <format dxfId="654">
      <pivotArea dataOnly="0" labelOnly="1" fieldPosition="0">
        <references count="2">
          <reference field="0" count="1" selected="0">
            <x v="24"/>
          </reference>
          <reference field="1" count="1">
            <x v="6"/>
          </reference>
        </references>
      </pivotArea>
    </format>
    <format dxfId="653">
      <pivotArea dataOnly="0" labelOnly="1" fieldPosition="0">
        <references count="2">
          <reference field="0" count="1" selected="0">
            <x v="25"/>
          </reference>
          <reference field="1" count="1">
            <x v="35"/>
          </reference>
        </references>
      </pivotArea>
    </format>
    <format dxfId="652">
      <pivotArea dataOnly="0" labelOnly="1" fieldPosition="0">
        <references count="2">
          <reference field="0" count="1" selected="0">
            <x v="26"/>
          </reference>
          <reference field="1" count="1">
            <x v="9"/>
          </reference>
        </references>
      </pivotArea>
    </format>
    <format dxfId="651">
      <pivotArea dataOnly="0" labelOnly="1" fieldPosition="0">
        <references count="2">
          <reference field="0" count="1" selected="0">
            <x v="27"/>
          </reference>
          <reference field="1" count="1">
            <x v="10"/>
          </reference>
        </references>
      </pivotArea>
    </format>
    <format dxfId="650">
      <pivotArea dataOnly="0" labelOnly="1" fieldPosition="0">
        <references count="2">
          <reference field="0" count="1" selected="0">
            <x v="28"/>
          </reference>
          <reference field="1" count="1">
            <x v="39"/>
          </reference>
        </references>
      </pivotArea>
    </format>
    <format dxfId="649">
      <pivotArea dataOnly="0" labelOnly="1" fieldPosition="0">
        <references count="2">
          <reference field="0" count="1" selected="0">
            <x v="29"/>
          </reference>
          <reference field="1" count="1">
            <x v="23"/>
          </reference>
        </references>
      </pivotArea>
    </format>
    <format dxfId="648">
      <pivotArea dataOnly="0" labelOnly="1" fieldPosition="0">
        <references count="2">
          <reference field="0" count="1" selected="0">
            <x v="30"/>
          </reference>
          <reference field="1" count="1">
            <x v="22"/>
          </reference>
        </references>
      </pivotArea>
    </format>
    <format dxfId="647">
      <pivotArea dataOnly="0" labelOnly="1" fieldPosition="0">
        <references count="2">
          <reference field="0" count="1" selected="0">
            <x v="31"/>
          </reference>
          <reference field="1" count="1">
            <x v="21"/>
          </reference>
        </references>
      </pivotArea>
    </format>
    <format dxfId="646">
      <pivotArea dataOnly="0" labelOnly="1" fieldPosition="0">
        <references count="2">
          <reference field="0" count="1" selected="0">
            <x v="32"/>
          </reference>
          <reference field="1" count="1">
            <x v="19"/>
          </reference>
        </references>
      </pivotArea>
    </format>
    <format dxfId="645">
      <pivotArea dataOnly="0" labelOnly="1" fieldPosition="0">
        <references count="2">
          <reference field="0" count="1" selected="0">
            <x v="33"/>
          </reference>
          <reference field="1" count="1">
            <x v="20"/>
          </reference>
        </references>
      </pivotArea>
    </format>
    <format dxfId="644">
      <pivotArea dataOnly="0" labelOnly="1" fieldPosition="0">
        <references count="2">
          <reference field="0" count="1" selected="0">
            <x v="34"/>
          </reference>
          <reference field="1" count="1">
            <x v="16"/>
          </reference>
        </references>
      </pivotArea>
    </format>
    <format dxfId="643">
      <pivotArea dataOnly="0" labelOnly="1" fieldPosition="0">
        <references count="2">
          <reference field="0" count="1" selected="0">
            <x v="35"/>
          </reference>
          <reference field="1" count="1">
            <x v="17"/>
          </reference>
        </references>
      </pivotArea>
    </format>
    <format dxfId="642">
      <pivotArea dataOnly="0" labelOnly="1" fieldPosition="0">
        <references count="2">
          <reference field="0" count="1" selected="0">
            <x v="36"/>
          </reference>
          <reference field="1" count="1">
            <x v="15"/>
          </reference>
        </references>
      </pivotArea>
    </format>
    <format dxfId="641">
      <pivotArea dataOnly="0" labelOnly="1" fieldPosition="0">
        <references count="2">
          <reference field="0" count="1" selected="0">
            <x v="37"/>
          </reference>
          <reference field="1" count="1">
            <x v="18"/>
          </reference>
        </references>
      </pivotArea>
    </format>
    <format dxfId="640">
      <pivotArea dataOnly="0" labelOnly="1" fieldPosition="0">
        <references count="2">
          <reference field="0" count="1" selected="0">
            <x v="38"/>
          </reference>
          <reference field="1" count="1">
            <x v="44"/>
          </reference>
        </references>
      </pivotArea>
    </format>
    <format dxfId="639">
      <pivotArea dataOnly="0" labelOnly="1" fieldPosition="0">
        <references count="2">
          <reference field="0" count="1" selected="0">
            <x v="39"/>
          </reference>
          <reference field="1" count="1">
            <x v="43"/>
          </reference>
        </references>
      </pivotArea>
    </format>
    <format dxfId="638">
      <pivotArea dataOnly="0" labelOnly="1" fieldPosition="0">
        <references count="2">
          <reference field="0" count="1" selected="0">
            <x v="40"/>
          </reference>
          <reference field="1" count="1">
            <x v="49"/>
          </reference>
        </references>
      </pivotArea>
    </format>
    <format dxfId="637">
      <pivotArea dataOnly="0" labelOnly="1" fieldPosition="0">
        <references count="2">
          <reference field="0" count="1" selected="0">
            <x v="41"/>
          </reference>
          <reference field="1" count="1">
            <x v="46"/>
          </reference>
        </references>
      </pivotArea>
    </format>
    <format dxfId="636">
      <pivotArea dataOnly="0" labelOnly="1" fieldPosition="0">
        <references count="2">
          <reference field="0" count="1" selected="0">
            <x v="42"/>
          </reference>
          <reference field="1" count="1">
            <x v="48"/>
          </reference>
        </references>
      </pivotArea>
    </format>
    <format dxfId="635">
      <pivotArea dataOnly="0" labelOnly="1" fieldPosition="0">
        <references count="2">
          <reference field="0" count="1" selected="0">
            <x v="43"/>
          </reference>
          <reference field="1" count="1">
            <x v="47"/>
          </reference>
        </references>
      </pivotArea>
    </format>
    <format dxfId="634">
      <pivotArea dataOnly="0" labelOnly="1" fieldPosition="0">
        <references count="2">
          <reference field="0" count="1" selected="0">
            <x v="44"/>
          </reference>
          <reference field="1" count="1">
            <x v="38"/>
          </reference>
        </references>
      </pivotArea>
    </format>
    <format dxfId="633">
      <pivotArea dataOnly="0" labelOnly="1" fieldPosition="0">
        <references count="2">
          <reference field="0" count="1" selected="0">
            <x v="45"/>
          </reference>
          <reference field="1" count="1">
            <x v="0"/>
          </reference>
        </references>
      </pivotArea>
    </format>
    <format dxfId="632">
      <pivotArea dataOnly="0" labelOnly="1" fieldPosition="0">
        <references count="2">
          <reference field="0" count="1" selected="0">
            <x v="46"/>
          </reference>
          <reference field="1" count="1">
            <x v="37"/>
          </reference>
        </references>
      </pivotArea>
    </format>
    <format dxfId="631">
      <pivotArea dataOnly="0" labelOnly="1" fieldPosition="0">
        <references count="2">
          <reference field="0" count="1" selected="0">
            <x v="47"/>
          </reference>
          <reference field="1" count="1">
            <x v="7"/>
          </reference>
        </references>
      </pivotArea>
    </format>
    <format dxfId="630">
      <pivotArea dataOnly="0" labelOnly="1" fieldPosition="0">
        <references count="2">
          <reference field="0" count="1" selected="0">
            <x v="48"/>
          </reference>
          <reference field="1" count="1">
            <x v="8"/>
          </reference>
        </references>
      </pivotArea>
    </format>
    <format dxfId="629">
      <pivotArea dataOnly="0" labelOnly="1" fieldPosition="0">
        <references count="2">
          <reference field="0" count="1" selected="0">
            <x v="49"/>
          </reference>
          <reference field="1" count="1">
            <x v="42"/>
          </reference>
        </references>
      </pivotArea>
    </format>
    <format dxfId="628">
      <pivotArea dataOnly="0" labelOnly="1" fieldPosition="0">
        <references count="3">
          <reference field="0" count="1" selected="0">
            <x v="0"/>
          </reference>
          <reference field="1" count="1" selected="0">
            <x v="32"/>
          </reference>
          <reference field="12" count="1">
            <x v="0"/>
          </reference>
        </references>
      </pivotArea>
    </format>
    <format dxfId="627">
      <pivotArea dataOnly="0" labelOnly="1" fieldPosition="0">
        <references count="3">
          <reference field="0" count="1" selected="0">
            <x v="1"/>
          </reference>
          <reference field="1" count="1" selected="0">
            <x v="33"/>
          </reference>
          <reference field="12" count="1">
            <x v="18"/>
          </reference>
        </references>
      </pivotArea>
    </format>
    <format dxfId="626">
      <pivotArea dataOnly="0" labelOnly="1" fieldPosition="0">
        <references count="3">
          <reference field="0" count="1" selected="0">
            <x v="2"/>
          </reference>
          <reference field="1" count="1" selected="0">
            <x v="45"/>
          </reference>
          <reference field="12" count="1">
            <x v="10"/>
          </reference>
        </references>
      </pivotArea>
    </format>
    <format dxfId="625">
      <pivotArea dataOnly="0" labelOnly="1" fieldPosition="0">
        <references count="3">
          <reference field="0" count="1" selected="0">
            <x v="3"/>
          </reference>
          <reference field="1" count="1" selected="0">
            <x v="34"/>
          </reference>
          <reference field="12" count="1">
            <x v="7"/>
          </reference>
        </references>
      </pivotArea>
    </format>
    <format dxfId="624">
      <pivotArea dataOnly="0" labelOnly="1" fieldPosition="0">
        <references count="3">
          <reference field="0" count="1" selected="0">
            <x v="4"/>
          </reference>
          <reference field="1" count="1" selected="0">
            <x v="3"/>
          </reference>
          <reference field="12" count="1">
            <x v="5"/>
          </reference>
        </references>
      </pivotArea>
    </format>
    <format dxfId="623">
      <pivotArea dataOnly="0" labelOnly="1" fieldPosition="0">
        <references count="3">
          <reference field="0" count="1" selected="0">
            <x v="5"/>
          </reference>
          <reference field="1" count="1" selected="0">
            <x v="26"/>
          </reference>
          <reference field="12" count="1">
            <x v="19"/>
          </reference>
        </references>
      </pivotArea>
    </format>
    <format dxfId="622">
      <pivotArea dataOnly="0" labelOnly="1" fieldPosition="0">
        <references count="3">
          <reference field="0" count="1" selected="0">
            <x v="6"/>
          </reference>
          <reference field="1" count="1" selected="0">
            <x v="31"/>
          </reference>
          <reference field="12" count="1">
            <x v="9"/>
          </reference>
        </references>
      </pivotArea>
    </format>
    <format dxfId="621">
      <pivotArea dataOnly="0" labelOnly="1" fieldPosition="0">
        <references count="3">
          <reference field="0" count="1" selected="0">
            <x v="7"/>
          </reference>
          <reference field="1" count="1" selected="0">
            <x v="27"/>
          </reference>
          <reference field="12" count="1">
            <x v="30"/>
          </reference>
        </references>
      </pivotArea>
    </format>
    <format dxfId="620">
      <pivotArea dataOnly="0" labelOnly="1" fieldPosition="0">
        <references count="3">
          <reference field="0" count="1" selected="0">
            <x v="8"/>
          </reference>
          <reference field="1" count="1" selected="0">
            <x v="30"/>
          </reference>
          <reference field="12" count="1">
            <x v="41"/>
          </reference>
        </references>
      </pivotArea>
    </format>
    <format dxfId="619">
      <pivotArea dataOnly="0" labelOnly="1" fieldPosition="0">
        <references count="3">
          <reference field="0" count="1" selected="0">
            <x v="9"/>
          </reference>
          <reference field="1" count="1" selected="0">
            <x v="28"/>
          </reference>
          <reference field="12" count="1">
            <x v="38"/>
          </reference>
        </references>
      </pivotArea>
    </format>
    <format dxfId="618">
      <pivotArea dataOnly="0" labelOnly="1" fieldPosition="0">
        <references count="3">
          <reference field="0" count="1" selected="0">
            <x v="10"/>
          </reference>
          <reference field="1" count="1" selected="0">
            <x v="41"/>
          </reference>
          <reference field="12" count="1">
            <x v="23"/>
          </reference>
        </references>
      </pivotArea>
    </format>
    <format dxfId="617">
      <pivotArea dataOnly="0" labelOnly="1" fieldPosition="0">
        <references count="3">
          <reference field="0" count="1" selected="0">
            <x v="11"/>
          </reference>
          <reference field="1" count="1" selected="0">
            <x v="29"/>
          </reference>
          <reference field="12" count="1">
            <x v="49"/>
          </reference>
        </references>
      </pivotArea>
    </format>
    <format dxfId="616">
      <pivotArea dataOnly="0" labelOnly="1" fieldPosition="0">
        <references count="3">
          <reference field="0" count="1" selected="0">
            <x v="12"/>
          </reference>
          <reference field="1" count="1" selected="0">
            <x v="36"/>
          </reference>
          <reference field="12" count="1">
            <x v="37"/>
          </reference>
        </references>
      </pivotArea>
    </format>
    <format dxfId="615">
      <pivotArea dataOnly="0" labelOnly="1" fieldPosition="0">
        <references count="3">
          <reference field="0" count="1" selected="0">
            <x v="13"/>
          </reference>
          <reference field="1" count="1" selected="0">
            <x v="11"/>
          </reference>
          <reference field="12" count="1">
            <x v="47"/>
          </reference>
        </references>
      </pivotArea>
    </format>
    <format dxfId="614">
      <pivotArea dataOnly="0" labelOnly="1" fieldPosition="0">
        <references count="3">
          <reference field="0" count="1" selected="0">
            <x v="14"/>
          </reference>
          <reference field="1" count="1" selected="0">
            <x v="40"/>
          </reference>
          <reference field="12" count="1">
            <x v="36"/>
          </reference>
        </references>
      </pivotArea>
    </format>
    <format dxfId="613">
      <pivotArea dataOnly="0" labelOnly="1" fieldPosition="0">
        <references count="3">
          <reference field="0" count="1" selected="0">
            <x v="15"/>
          </reference>
          <reference field="1" count="1" selected="0">
            <x v="12"/>
          </reference>
          <reference field="12" count="1">
            <x v="4"/>
          </reference>
        </references>
      </pivotArea>
    </format>
    <format dxfId="612">
      <pivotArea dataOnly="0" labelOnly="1" fieldPosition="0">
        <references count="3">
          <reference field="0" count="1" selected="0">
            <x v="16"/>
          </reference>
          <reference field="1" count="1" selected="0">
            <x v="13"/>
          </reference>
          <reference field="12" count="1">
            <x v="42"/>
          </reference>
        </references>
      </pivotArea>
    </format>
    <format dxfId="611">
      <pivotArea dataOnly="0" labelOnly="1" fieldPosition="0">
        <references count="3">
          <reference field="0" count="1" selected="0">
            <x v="17"/>
          </reference>
          <reference field="1" count="1" selected="0">
            <x v="14"/>
          </reference>
          <reference field="12" count="1">
            <x v="44"/>
          </reference>
        </references>
      </pivotArea>
    </format>
    <format dxfId="610">
      <pivotArea dataOnly="0" labelOnly="1" fieldPosition="0">
        <references count="3">
          <reference field="0" count="1" selected="0">
            <x v="18"/>
          </reference>
          <reference field="1" count="1" selected="0">
            <x v="2"/>
          </reference>
          <reference field="12" count="1">
            <x v="31"/>
          </reference>
        </references>
      </pivotArea>
    </format>
    <format dxfId="609">
      <pivotArea dataOnly="0" labelOnly="1" fieldPosition="0">
        <references count="3">
          <reference field="0" count="1" selected="0">
            <x v="19"/>
          </reference>
          <reference field="1" count="1" selected="0">
            <x v="24"/>
          </reference>
          <reference field="12" count="1">
            <x v="12"/>
          </reference>
        </references>
      </pivotArea>
    </format>
    <format dxfId="608">
      <pivotArea dataOnly="0" labelOnly="1" fieldPosition="0">
        <references count="3">
          <reference field="0" count="1" selected="0">
            <x v="20"/>
          </reference>
          <reference field="1" count="1" selected="0">
            <x v="25"/>
          </reference>
          <reference field="12" count="1">
            <x v="35"/>
          </reference>
        </references>
      </pivotArea>
    </format>
    <format dxfId="607">
      <pivotArea dataOnly="0" labelOnly="1" fieldPosition="0">
        <references count="3">
          <reference field="0" count="1" selected="0">
            <x v="21"/>
          </reference>
          <reference field="1" count="1" selected="0">
            <x v="1"/>
          </reference>
          <reference field="12" count="1">
            <x v="25"/>
          </reference>
        </references>
      </pivotArea>
    </format>
    <format dxfId="606">
      <pivotArea dataOnly="0" labelOnly="1" fieldPosition="0">
        <references count="3">
          <reference field="0" count="1" selected="0">
            <x v="22"/>
          </reference>
          <reference field="1" count="1" selected="0">
            <x v="4"/>
          </reference>
          <reference field="12" count="1">
            <x v="46"/>
          </reference>
        </references>
      </pivotArea>
    </format>
    <format dxfId="605">
      <pivotArea dataOnly="0" labelOnly="1" fieldPosition="0">
        <references count="3">
          <reference field="0" count="1" selected="0">
            <x v="23"/>
          </reference>
          <reference field="1" count="1" selected="0">
            <x v="5"/>
          </reference>
          <reference field="12" count="1">
            <x v="3"/>
          </reference>
        </references>
      </pivotArea>
    </format>
    <format dxfId="604">
      <pivotArea dataOnly="0" labelOnly="1" fieldPosition="0">
        <references count="3">
          <reference field="0" count="1" selected="0">
            <x v="24"/>
          </reference>
          <reference field="1" count="1" selected="0">
            <x v="6"/>
          </reference>
          <reference field="12" count="1">
            <x v="1"/>
          </reference>
        </references>
      </pivotArea>
    </format>
    <format dxfId="603">
      <pivotArea dataOnly="0" labelOnly="1" fieldPosition="0">
        <references count="3">
          <reference field="0" count="1" selected="0">
            <x v="25"/>
          </reference>
          <reference field="1" count="1" selected="0">
            <x v="35"/>
          </reference>
          <reference field="12" count="1">
            <x v="34"/>
          </reference>
        </references>
      </pivotArea>
    </format>
    <format dxfId="602">
      <pivotArea dataOnly="0" labelOnly="1" fieldPosition="0">
        <references count="3">
          <reference field="0" count="1" selected="0">
            <x v="26"/>
          </reference>
          <reference field="1" count="1" selected="0">
            <x v="9"/>
          </reference>
          <reference field="12" count="1">
            <x v="48"/>
          </reference>
        </references>
      </pivotArea>
    </format>
    <format dxfId="601">
      <pivotArea dataOnly="0" labelOnly="1" fieldPosition="0">
        <references count="3">
          <reference field="0" count="1" selected="0">
            <x v="27"/>
          </reference>
          <reference field="1" count="1" selected="0">
            <x v="10"/>
          </reference>
          <reference field="12" count="1">
            <x v="14"/>
          </reference>
        </references>
      </pivotArea>
    </format>
    <format dxfId="600">
      <pivotArea dataOnly="0" labelOnly="1" fieldPosition="0">
        <references count="3">
          <reference field="0" count="1" selected="0">
            <x v="28"/>
          </reference>
          <reference field="1" count="1" selected="0">
            <x v="39"/>
          </reference>
          <reference field="12" count="1">
            <x v="32"/>
          </reference>
        </references>
      </pivotArea>
    </format>
    <format dxfId="599">
      <pivotArea dataOnly="0" labelOnly="1" fieldPosition="0">
        <references count="3">
          <reference field="0" count="1" selected="0">
            <x v="29"/>
          </reference>
          <reference field="1" count="1" selected="0">
            <x v="23"/>
          </reference>
          <reference field="12" count="1">
            <x v="22"/>
          </reference>
        </references>
      </pivotArea>
    </format>
    <format dxfId="598">
      <pivotArea dataOnly="0" labelOnly="1" fieldPosition="0">
        <references count="3">
          <reference field="0" count="1" selected="0">
            <x v="30"/>
          </reference>
          <reference field="1" count="1" selected="0">
            <x v="22"/>
          </reference>
          <reference field="12" count="1">
            <x v="8"/>
          </reference>
        </references>
      </pivotArea>
    </format>
    <format dxfId="597">
      <pivotArea dataOnly="0" labelOnly="1" fieldPosition="0">
        <references count="3">
          <reference field="0" count="1" selected="0">
            <x v="31"/>
          </reference>
          <reference field="1" count="1" selected="0">
            <x v="21"/>
          </reference>
          <reference field="12" count="1">
            <x v="6"/>
          </reference>
        </references>
      </pivotArea>
    </format>
    <format dxfId="596">
      <pivotArea dataOnly="0" labelOnly="1" fieldPosition="0">
        <references count="3">
          <reference field="0" count="1" selected="0">
            <x v="32"/>
          </reference>
          <reference field="1" count="1" selected="0">
            <x v="19"/>
          </reference>
          <reference field="12" count="1">
            <x v="45"/>
          </reference>
        </references>
      </pivotArea>
    </format>
    <format dxfId="595">
      <pivotArea dataOnly="0" labelOnly="1" fieldPosition="0">
        <references count="3">
          <reference field="0" count="1" selected="0">
            <x v="33"/>
          </reference>
          <reference field="1" count="1" selected="0">
            <x v="20"/>
          </reference>
          <reference field="12" count="1">
            <x v="17"/>
          </reference>
        </references>
      </pivotArea>
    </format>
    <format dxfId="594">
      <pivotArea dataOnly="0" labelOnly="1" fieldPosition="0">
        <references count="3">
          <reference field="0" count="1" selected="0">
            <x v="34"/>
          </reference>
          <reference field="1" count="1" selected="0">
            <x v="16"/>
          </reference>
          <reference field="12" count="1">
            <x v="16"/>
          </reference>
        </references>
      </pivotArea>
    </format>
    <format dxfId="593">
      <pivotArea dataOnly="0" labelOnly="1" fieldPosition="0">
        <references count="3">
          <reference field="0" count="1" selected="0">
            <x v="35"/>
          </reference>
          <reference field="1" count="1" selected="0">
            <x v="17"/>
          </reference>
          <reference field="12" count="1">
            <x v="15"/>
          </reference>
        </references>
      </pivotArea>
    </format>
    <format dxfId="592">
      <pivotArea dataOnly="0" labelOnly="1" fieldPosition="0">
        <references count="3">
          <reference field="0" count="1" selected="0">
            <x v="36"/>
          </reference>
          <reference field="1" count="1" selected="0">
            <x v="15"/>
          </reference>
          <reference field="12" count="1">
            <x v="20"/>
          </reference>
        </references>
      </pivotArea>
    </format>
    <format dxfId="591">
      <pivotArea dataOnly="0" labelOnly="1" fieldPosition="0">
        <references count="3">
          <reference field="0" count="1" selected="0">
            <x v="37"/>
          </reference>
          <reference field="1" count="1" selected="0">
            <x v="18"/>
          </reference>
          <reference field="12" count="1">
            <x v="13"/>
          </reference>
        </references>
      </pivotArea>
    </format>
    <format dxfId="590">
      <pivotArea dataOnly="0" labelOnly="1" fieldPosition="0">
        <references count="3">
          <reference field="0" count="1" selected="0">
            <x v="38"/>
          </reference>
          <reference field="1" count="1" selected="0">
            <x v="44"/>
          </reference>
          <reference field="12" count="1">
            <x v="43"/>
          </reference>
        </references>
      </pivotArea>
    </format>
    <format dxfId="589">
      <pivotArea dataOnly="0" labelOnly="1" fieldPosition="0">
        <references count="3">
          <reference field="0" count="1" selected="0">
            <x v="39"/>
          </reference>
          <reference field="1" count="1" selected="0">
            <x v="43"/>
          </reference>
          <reference field="12" count="1">
            <x v="28"/>
          </reference>
        </references>
      </pivotArea>
    </format>
    <format dxfId="588">
      <pivotArea dataOnly="0" labelOnly="1" fieldPosition="0">
        <references count="3">
          <reference field="0" count="1" selected="0">
            <x v="40"/>
          </reference>
          <reference field="1" count="1" selected="0">
            <x v="49"/>
          </reference>
          <reference field="12" count="1">
            <x v="24"/>
          </reference>
        </references>
      </pivotArea>
    </format>
    <format dxfId="587">
      <pivotArea dataOnly="0" labelOnly="1" fieldPosition="0">
        <references count="3">
          <reference field="0" count="1" selected="0">
            <x v="41"/>
          </reference>
          <reference field="1" count="1" selected="0">
            <x v="46"/>
          </reference>
          <reference field="12" count="1">
            <x v="11"/>
          </reference>
        </references>
      </pivotArea>
    </format>
    <format dxfId="586">
      <pivotArea dataOnly="0" labelOnly="1" fieldPosition="0">
        <references count="3">
          <reference field="0" count="1" selected="0">
            <x v="42"/>
          </reference>
          <reference field="1" count="1" selected="0">
            <x v="48"/>
          </reference>
          <reference field="12" count="1">
            <x v="2"/>
          </reference>
        </references>
      </pivotArea>
    </format>
    <format dxfId="585">
      <pivotArea dataOnly="0" labelOnly="1" fieldPosition="0">
        <references count="3">
          <reference field="0" count="1" selected="0">
            <x v="43"/>
          </reference>
          <reference field="1" count="1" selected="0">
            <x v="47"/>
          </reference>
          <reference field="12" count="1">
            <x v="21"/>
          </reference>
        </references>
      </pivotArea>
    </format>
    <format dxfId="584">
      <pivotArea dataOnly="0" labelOnly="1" fieldPosition="0">
        <references count="3">
          <reference field="0" count="1" selected="0">
            <x v="44"/>
          </reference>
          <reference field="1" count="1" selected="0">
            <x v="38"/>
          </reference>
          <reference field="12" count="1">
            <x v="29"/>
          </reference>
        </references>
      </pivotArea>
    </format>
    <format dxfId="583">
      <pivotArea dataOnly="0" labelOnly="1" fieldPosition="0">
        <references count="3">
          <reference field="0" count="1" selected="0">
            <x v="45"/>
          </reference>
          <reference field="1" count="1" selected="0">
            <x v="0"/>
          </reference>
          <reference field="12" count="1">
            <x v="27"/>
          </reference>
        </references>
      </pivotArea>
    </format>
    <format dxfId="582">
      <pivotArea dataOnly="0" labelOnly="1" fieldPosition="0">
        <references count="3">
          <reference field="0" count="1" selected="0">
            <x v="46"/>
          </reference>
          <reference field="1" count="1" selected="0">
            <x v="37"/>
          </reference>
          <reference field="12" count="1">
            <x v="33"/>
          </reference>
        </references>
      </pivotArea>
    </format>
    <format dxfId="581">
      <pivotArea dataOnly="0" labelOnly="1" fieldPosition="0">
        <references count="3">
          <reference field="0" count="1" selected="0">
            <x v="47"/>
          </reference>
          <reference field="1" count="1" selected="0">
            <x v="7"/>
          </reference>
          <reference field="12" count="1">
            <x v="40"/>
          </reference>
        </references>
      </pivotArea>
    </format>
    <format dxfId="580">
      <pivotArea dataOnly="0" labelOnly="1" fieldPosition="0">
        <references count="3">
          <reference field="0" count="1" selected="0">
            <x v="48"/>
          </reference>
          <reference field="1" count="1" selected="0">
            <x v="8"/>
          </reference>
          <reference field="12" count="1">
            <x v="26"/>
          </reference>
        </references>
      </pivotArea>
    </format>
    <format dxfId="579">
      <pivotArea dataOnly="0" labelOnly="1" fieldPosition="0">
        <references count="3">
          <reference field="0" count="1" selected="0">
            <x v="49"/>
          </reference>
          <reference field="1" count="1" selected="0">
            <x v="42"/>
          </reference>
          <reference field="12" count="1">
            <x v="39"/>
          </reference>
        </references>
      </pivotArea>
    </format>
    <format dxfId="578">
      <pivotArea dataOnly="0" labelOnly="1" fieldPosition="0">
        <references count="4">
          <reference field="0" count="1" selected="0">
            <x v="0"/>
          </reference>
          <reference field="1" count="1" selected="0">
            <x v="32"/>
          </reference>
          <reference field="12" count="1" selected="0">
            <x v="0"/>
          </reference>
          <reference field="26" count="1">
            <x v="43"/>
          </reference>
        </references>
      </pivotArea>
    </format>
    <format dxfId="577">
      <pivotArea dataOnly="0" labelOnly="1" fieldPosition="0">
        <references count="4">
          <reference field="0" count="1" selected="0">
            <x v="1"/>
          </reference>
          <reference field="1" count="1" selected="0">
            <x v="33"/>
          </reference>
          <reference field="12" count="1" selected="0">
            <x v="18"/>
          </reference>
          <reference field="26" count="1">
            <x v="38"/>
          </reference>
        </references>
      </pivotArea>
    </format>
    <format dxfId="576">
      <pivotArea dataOnly="0" labelOnly="1" fieldPosition="0">
        <references count="4">
          <reference field="0" count="1" selected="0">
            <x v="2"/>
          </reference>
          <reference field="1" count="1" selected="0">
            <x v="45"/>
          </reference>
          <reference field="12" count="1" selected="0">
            <x v="10"/>
          </reference>
          <reference field="26" count="1">
            <x v="15"/>
          </reference>
        </references>
      </pivotArea>
    </format>
    <format dxfId="575">
      <pivotArea dataOnly="0" labelOnly="1" fieldPosition="0">
        <references count="4">
          <reference field="0" count="1" selected="0">
            <x v="3"/>
          </reference>
          <reference field="1" count="1" selected="0">
            <x v="34"/>
          </reference>
          <reference field="12" count="1" selected="0">
            <x v="7"/>
          </reference>
          <reference field="26" count="1">
            <x v="21"/>
          </reference>
        </references>
      </pivotArea>
    </format>
    <format dxfId="574">
      <pivotArea dataOnly="0" labelOnly="1" fieldPosition="0">
        <references count="4">
          <reference field="0" count="1" selected="0">
            <x v="4"/>
          </reference>
          <reference field="1" count="1" selected="0">
            <x v="3"/>
          </reference>
          <reference field="12" count="1" selected="0">
            <x v="5"/>
          </reference>
          <reference field="26" count="1">
            <x v="16"/>
          </reference>
        </references>
      </pivotArea>
    </format>
    <format dxfId="573">
      <pivotArea dataOnly="0" labelOnly="1" fieldPosition="0">
        <references count="4">
          <reference field="0" count="1" selected="0">
            <x v="5"/>
          </reference>
          <reference field="1" count="1" selected="0">
            <x v="26"/>
          </reference>
          <reference field="12" count="1" selected="0">
            <x v="19"/>
          </reference>
          <reference field="26" count="1">
            <x v="38"/>
          </reference>
        </references>
      </pivotArea>
    </format>
    <format dxfId="572">
      <pivotArea dataOnly="0" labelOnly="1" fieldPosition="0">
        <references count="4">
          <reference field="0" count="1" selected="0">
            <x v="6"/>
          </reference>
          <reference field="1" count="1" selected="0">
            <x v="31"/>
          </reference>
          <reference field="12" count="1" selected="0">
            <x v="9"/>
          </reference>
          <reference field="26" count="1">
            <x v="45"/>
          </reference>
        </references>
      </pivotArea>
    </format>
    <format dxfId="571">
      <pivotArea dataOnly="0" labelOnly="1" fieldPosition="0">
        <references count="4">
          <reference field="0" count="1" selected="0">
            <x v="7"/>
          </reference>
          <reference field="1" count="1" selected="0">
            <x v="27"/>
          </reference>
          <reference field="12" count="1" selected="0">
            <x v="30"/>
          </reference>
          <reference field="26" count="1">
            <x v="9"/>
          </reference>
        </references>
      </pivotArea>
    </format>
    <format dxfId="570">
      <pivotArea dataOnly="0" labelOnly="1" fieldPosition="0">
        <references count="4">
          <reference field="0" count="1" selected="0">
            <x v="8"/>
          </reference>
          <reference field="1" count="1" selected="0">
            <x v="30"/>
          </reference>
          <reference field="12" count="1" selected="0">
            <x v="41"/>
          </reference>
          <reference field="26" count="1">
            <x v="17"/>
          </reference>
        </references>
      </pivotArea>
    </format>
    <format dxfId="569">
      <pivotArea dataOnly="0" labelOnly="1" fieldPosition="0">
        <references count="4">
          <reference field="0" count="1" selected="0">
            <x v="9"/>
          </reference>
          <reference field="1" count="1" selected="0">
            <x v="28"/>
          </reference>
          <reference field="12" count="1" selected="0">
            <x v="38"/>
          </reference>
          <reference field="26" count="1">
            <x v="10"/>
          </reference>
        </references>
      </pivotArea>
    </format>
    <format dxfId="568">
      <pivotArea dataOnly="0" labelOnly="1" fieldPosition="0">
        <references count="4">
          <reference field="0" count="1" selected="0">
            <x v="10"/>
          </reference>
          <reference field="1" count="1" selected="0">
            <x v="41"/>
          </reference>
          <reference field="12" count="1" selected="0">
            <x v="23"/>
          </reference>
          <reference field="26" count="1">
            <x v="32"/>
          </reference>
        </references>
      </pivotArea>
    </format>
    <format dxfId="567">
      <pivotArea dataOnly="0" labelOnly="1" fieldPosition="0">
        <references count="4">
          <reference field="0" count="1" selected="0">
            <x v="11"/>
          </reference>
          <reference field="1" count="1" selected="0">
            <x v="29"/>
          </reference>
          <reference field="12" count="1" selected="0">
            <x v="49"/>
          </reference>
          <reference field="26" count="1">
            <x v="23"/>
          </reference>
        </references>
      </pivotArea>
    </format>
    <format dxfId="566">
      <pivotArea dataOnly="0" labelOnly="1" fieldPosition="0">
        <references count="4">
          <reference field="0" count="1" selected="0">
            <x v="12"/>
          </reference>
          <reference field="1" count="1" selected="0">
            <x v="36"/>
          </reference>
          <reference field="12" count="1" selected="0">
            <x v="37"/>
          </reference>
          <reference field="26" count="1">
            <x v="23"/>
          </reference>
        </references>
      </pivotArea>
    </format>
    <format dxfId="565">
      <pivotArea dataOnly="0" labelOnly="1" fieldPosition="0">
        <references count="4">
          <reference field="0" count="1" selected="0">
            <x v="13"/>
          </reference>
          <reference field="1" count="1" selected="0">
            <x v="11"/>
          </reference>
          <reference field="12" count="1" selected="0">
            <x v="47"/>
          </reference>
          <reference field="26" count="1">
            <x v="5"/>
          </reference>
        </references>
      </pivotArea>
    </format>
    <format dxfId="564">
      <pivotArea dataOnly="0" labelOnly="1" fieldPosition="0">
        <references count="4">
          <reference field="0" count="1" selected="0">
            <x v="14"/>
          </reference>
          <reference field="1" count="1" selected="0">
            <x v="40"/>
          </reference>
          <reference field="12" count="1" selected="0">
            <x v="36"/>
          </reference>
          <reference field="26" count="1">
            <x v="11"/>
          </reference>
        </references>
      </pivotArea>
    </format>
    <format dxfId="563">
      <pivotArea dataOnly="0" labelOnly="1" fieldPosition="0">
        <references count="4">
          <reference field="0" count="1" selected="0">
            <x v="15"/>
          </reference>
          <reference field="1" count="1" selected="0">
            <x v="12"/>
          </reference>
          <reference field="12" count="1" selected="0">
            <x v="4"/>
          </reference>
          <reference field="26" count="1">
            <x v="15"/>
          </reference>
        </references>
      </pivotArea>
    </format>
    <format dxfId="562">
      <pivotArea dataOnly="0" labelOnly="1" fieldPosition="0">
        <references count="4">
          <reference field="0" count="1" selected="0">
            <x v="16"/>
          </reference>
          <reference field="1" count="1" selected="0">
            <x v="13"/>
          </reference>
          <reference field="12" count="1" selected="0">
            <x v="42"/>
          </reference>
          <reference field="26" count="1">
            <x v="18"/>
          </reference>
        </references>
      </pivotArea>
    </format>
    <format dxfId="561">
      <pivotArea dataOnly="0" labelOnly="1" fieldPosition="0">
        <references count="4">
          <reference field="0" count="1" selected="0">
            <x v="17"/>
          </reference>
          <reference field="1" count="1" selected="0">
            <x v="14"/>
          </reference>
          <reference field="12" count="1" selected="0">
            <x v="44"/>
          </reference>
          <reference field="26" count="1">
            <x v="5"/>
          </reference>
        </references>
      </pivotArea>
    </format>
    <format dxfId="560">
      <pivotArea dataOnly="0" labelOnly="1" fieldPosition="0">
        <references count="4">
          <reference field="0" count="1" selected="0">
            <x v="18"/>
          </reference>
          <reference field="1" count="1" selected="0">
            <x v="2"/>
          </reference>
          <reference field="12" count="1" selected="0">
            <x v="31"/>
          </reference>
          <reference field="26" count="1">
            <x v="23"/>
          </reference>
        </references>
      </pivotArea>
    </format>
    <format dxfId="559">
      <pivotArea dataOnly="0" labelOnly="1" fieldPosition="0">
        <references count="4">
          <reference field="0" count="1" selected="0">
            <x v="19"/>
          </reference>
          <reference field="1" count="1" selected="0">
            <x v="24"/>
          </reference>
          <reference field="12" count="1" selected="0">
            <x v="12"/>
          </reference>
          <reference field="26" count="1">
            <x v="22"/>
          </reference>
        </references>
      </pivotArea>
    </format>
    <format dxfId="558">
      <pivotArea dataOnly="0" labelOnly="1" fieldPosition="0">
        <references count="4">
          <reference field="0" count="1" selected="0">
            <x v="20"/>
          </reference>
          <reference field="1" count="1" selected="0">
            <x v="25"/>
          </reference>
          <reference field="12" count="1" selected="0">
            <x v="35"/>
          </reference>
          <reference field="26" count="1">
            <x v="42"/>
          </reference>
        </references>
      </pivotArea>
    </format>
    <format dxfId="557">
      <pivotArea dataOnly="0" labelOnly="1" fieldPosition="0">
        <references count="4">
          <reference field="0" count="1" selected="0">
            <x v="21"/>
          </reference>
          <reference field="1" count="1" selected="0">
            <x v="1"/>
          </reference>
          <reference field="12" count="1" selected="0">
            <x v="25"/>
          </reference>
          <reference field="26" count="1">
            <x v="10"/>
          </reference>
        </references>
      </pivotArea>
    </format>
    <format dxfId="556">
      <pivotArea dataOnly="0" labelOnly="1" fieldPosition="0">
        <references count="4">
          <reference field="0" count="1" selected="0">
            <x v="22"/>
          </reference>
          <reference field="1" count="1" selected="0">
            <x v="4"/>
          </reference>
          <reference field="12" count="1" selected="0">
            <x v="46"/>
          </reference>
          <reference field="26" count="1">
            <x v="1"/>
          </reference>
        </references>
      </pivotArea>
    </format>
    <format dxfId="555">
      <pivotArea dataOnly="0" labelOnly="1" fieldPosition="0">
        <references count="4">
          <reference field="0" count="1" selected="0">
            <x v="23"/>
          </reference>
          <reference field="1" count="1" selected="0">
            <x v="5"/>
          </reference>
          <reference field="12" count="1" selected="0">
            <x v="3"/>
          </reference>
          <reference field="26" count="1">
            <x v="45"/>
          </reference>
        </references>
      </pivotArea>
    </format>
    <format dxfId="554">
      <pivotArea dataOnly="0" labelOnly="1" fieldPosition="0">
        <references count="4">
          <reference field="0" count="1" selected="0">
            <x v="24"/>
          </reference>
          <reference field="1" count="1" selected="0">
            <x v="6"/>
          </reference>
          <reference field="12" count="1" selected="0">
            <x v="1"/>
          </reference>
          <reference field="26" count="1">
            <x v="12"/>
          </reference>
        </references>
      </pivotArea>
    </format>
    <format dxfId="553">
      <pivotArea dataOnly="0" labelOnly="1" fieldPosition="0">
        <references count="4">
          <reference field="0" count="1" selected="0">
            <x v="25"/>
          </reference>
          <reference field="1" count="1" selected="0">
            <x v="35"/>
          </reference>
          <reference field="12" count="1" selected="0">
            <x v="34"/>
          </reference>
          <reference field="26" count="1">
            <x v="24"/>
          </reference>
        </references>
      </pivotArea>
    </format>
    <format dxfId="552">
      <pivotArea dataOnly="0" labelOnly="1" fieldPosition="0">
        <references count="4">
          <reference field="0" count="1" selected="0">
            <x v="26"/>
          </reference>
          <reference field="1" count="1" selected="0">
            <x v="9"/>
          </reference>
          <reference field="12" count="1" selected="0">
            <x v="48"/>
          </reference>
          <reference field="26" count="1">
            <x v="16"/>
          </reference>
        </references>
      </pivotArea>
    </format>
    <format dxfId="551">
      <pivotArea dataOnly="0" labelOnly="1" fieldPosition="0">
        <references count="4">
          <reference field="0" count="1" selected="0">
            <x v="27"/>
          </reference>
          <reference field="1" count="1" selected="0">
            <x v="10"/>
          </reference>
          <reference field="12" count="1" selected="0">
            <x v="14"/>
          </reference>
          <reference field="26" count="1">
            <x v="28"/>
          </reference>
        </references>
      </pivotArea>
    </format>
    <format dxfId="550">
      <pivotArea dataOnly="0" labelOnly="1" fieldPosition="0">
        <references count="4">
          <reference field="0" count="1" selected="0">
            <x v="28"/>
          </reference>
          <reference field="1" count="1" selected="0">
            <x v="39"/>
          </reference>
          <reference field="12" count="1" selected="0">
            <x v="32"/>
          </reference>
          <reference field="26" count="1">
            <x v="40"/>
          </reference>
        </references>
      </pivotArea>
    </format>
    <format dxfId="549">
      <pivotArea dataOnly="0" labelOnly="1" fieldPosition="0">
        <references count="4">
          <reference field="0" count="1" selected="0">
            <x v="29"/>
          </reference>
          <reference field="1" count="1" selected="0">
            <x v="23"/>
          </reference>
          <reference field="12" count="1" selected="0">
            <x v="22"/>
          </reference>
          <reference field="26" count="1">
            <x v="25"/>
          </reference>
        </references>
      </pivotArea>
    </format>
    <format dxfId="548">
      <pivotArea dataOnly="0" labelOnly="1" fieldPosition="0">
        <references count="4">
          <reference field="0" count="1" selected="0">
            <x v="30"/>
          </reference>
          <reference field="1" count="1" selected="0">
            <x v="22"/>
          </reference>
          <reference field="12" count="1" selected="0">
            <x v="8"/>
          </reference>
          <reference field="26" count="1">
            <x v="35"/>
          </reference>
        </references>
      </pivotArea>
    </format>
    <format dxfId="547">
      <pivotArea dataOnly="0" labelOnly="1" fieldPosition="0">
        <references count="4">
          <reference field="0" count="1" selected="0">
            <x v="31"/>
          </reference>
          <reference field="1" count="1" selected="0">
            <x v="21"/>
          </reference>
          <reference field="12" count="1" selected="0">
            <x v="6"/>
          </reference>
          <reference field="26" count="1">
            <x v="16"/>
          </reference>
        </references>
      </pivotArea>
    </format>
    <format dxfId="546">
      <pivotArea dataOnly="0" labelOnly="1" fieldPosition="0">
        <references count="4">
          <reference field="0" count="1" selected="0">
            <x v="32"/>
          </reference>
          <reference field="1" count="1" selected="0">
            <x v="19"/>
          </reference>
          <reference field="12" count="1" selected="0">
            <x v="45"/>
          </reference>
          <reference field="26" count="1">
            <x v="26"/>
          </reference>
        </references>
      </pivotArea>
    </format>
    <format dxfId="545">
      <pivotArea dataOnly="0" labelOnly="1" fieldPosition="0">
        <references count="4">
          <reference field="0" count="1" selected="0">
            <x v="33"/>
          </reference>
          <reference field="1" count="1" selected="0">
            <x v="20"/>
          </reference>
          <reference field="12" count="1" selected="0">
            <x v="17"/>
          </reference>
          <reference field="26" count="1">
            <x v="27"/>
          </reference>
        </references>
      </pivotArea>
    </format>
    <format dxfId="544">
      <pivotArea dataOnly="0" labelOnly="1" fieldPosition="0">
        <references count="4">
          <reference field="0" count="1" selected="0">
            <x v="34"/>
          </reference>
          <reference field="1" count="1" selected="0">
            <x v="16"/>
          </reference>
          <reference field="12" count="1" selected="0">
            <x v="16"/>
          </reference>
          <reference field="26" count="1">
            <x v="1"/>
          </reference>
        </references>
      </pivotArea>
    </format>
    <format dxfId="543">
      <pivotArea dataOnly="0" labelOnly="1" fieldPosition="0">
        <references count="4">
          <reference field="0" count="1" selected="0">
            <x v="35"/>
          </reference>
          <reference field="1" count="1" selected="0">
            <x v="17"/>
          </reference>
          <reference field="12" count="1" selected="0">
            <x v="15"/>
          </reference>
          <reference field="26" count="1">
            <x v="21"/>
          </reference>
        </references>
      </pivotArea>
    </format>
    <format dxfId="542">
      <pivotArea dataOnly="0" labelOnly="1" fieldPosition="0">
        <references count="4">
          <reference field="0" count="1" selected="0">
            <x v="36"/>
          </reference>
          <reference field="1" count="1" selected="0">
            <x v="15"/>
          </reference>
          <reference field="12" count="1" selected="0">
            <x v="20"/>
          </reference>
          <reference field="26" count="1">
            <x v="32"/>
          </reference>
        </references>
      </pivotArea>
    </format>
    <format dxfId="541">
      <pivotArea dataOnly="0" labelOnly="1" fieldPosition="0">
        <references count="4">
          <reference field="0" count="1" selected="0">
            <x v="37"/>
          </reference>
          <reference field="1" count="1" selected="0">
            <x v="18"/>
          </reference>
          <reference field="12" count="1" selected="0">
            <x v="13"/>
          </reference>
          <reference field="26" count="1">
            <x v="29"/>
          </reference>
        </references>
      </pivotArea>
    </format>
    <format dxfId="540">
      <pivotArea dataOnly="0" labelOnly="1" fieldPosition="0">
        <references count="4">
          <reference field="0" count="1" selected="0">
            <x v="38"/>
          </reference>
          <reference field="1" count="1" selected="0">
            <x v="44"/>
          </reference>
          <reference field="12" count="1" selected="0">
            <x v="43"/>
          </reference>
          <reference field="26" count="1">
            <x v="30"/>
          </reference>
        </references>
      </pivotArea>
    </format>
    <format dxfId="539">
      <pivotArea dataOnly="0" labelOnly="1" fieldPosition="0">
        <references count="4">
          <reference field="0" count="1" selected="0">
            <x v="39"/>
          </reference>
          <reference field="1" count="1" selected="0">
            <x v="43"/>
          </reference>
          <reference field="12" count="1" selected="0">
            <x v="28"/>
          </reference>
          <reference field="26" count="1">
            <x v="34"/>
          </reference>
        </references>
      </pivotArea>
    </format>
    <format dxfId="538">
      <pivotArea dataOnly="0" labelOnly="1" fieldPosition="0">
        <references count="4">
          <reference field="0" count="1" selected="0">
            <x v="40"/>
          </reference>
          <reference field="1" count="1" selected="0">
            <x v="49"/>
          </reference>
          <reference field="12" count="1" selected="0">
            <x v="24"/>
          </reference>
          <reference field="26" count="1">
            <x v="20"/>
          </reference>
        </references>
      </pivotArea>
    </format>
    <format dxfId="537">
      <pivotArea dataOnly="0" labelOnly="1" fieldPosition="0">
        <references count="4">
          <reference field="0" count="1" selected="0">
            <x v="41"/>
          </reference>
          <reference field="1" count="1" selected="0">
            <x v="46"/>
          </reference>
          <reference field="12" count="1" selected="0">
            <x v="11"/>
          </reference>
          <reference field="26" count="1">
            <x v="36"/>
          </reference>
        </references>
      </pivotArea>
    </format>
    <format dxfId="536">
      <pivotArea dataOnly="0" labelOnly="1" fieldPosition="0">
        <references count="4">
          <reference field="0" count="1" selected="0">
            <x v="42"/>
          </reference>
          <reference field="1" count="1" selected="0">
            <x v="48"/>
          </reference>
          <reference field="12" count="1" selected="0">
            <x v="2"/>
          </reference>
          <reference field="26" count="1">
            <x v="6"/>
          </reference>
        </references>
      </pivotArea>
    </format>
    <format dxfId="535">
      <pivotArea dataOnly="0" labelOnly="1" fieldPosition="0">
        <references count="4">
          <reference field="0" count="1" selected="0">
            <x v="43"/>
          </reference>
          <reference field="1" count="1" selected="0">
            <x v="47"/>
          </reference>
          <reference field="12" count="1" selected="0">
            <x v="21"/>
          </reference>
          <reference field="26" count="1">
            <x v="11"/>
          </reference>
        </references>
      </pivotArea>
    </format>
    <format dxfId="534">
      <pivotArea dataOnly="0" labelOnly="1" fieldPosition="0">
        <references count="4">
          <reference field="0" count="1" selected="0">
            <x v="44"/>
          </reference>
          <reference field="1" count="1" selected="0">
            <x v="38"/>
          </reference>
          <reference field="12" count="1" selected="0">
            <x v="29"/>
          </reference>
          <reference field="26" count="1">
            <x v="6"/>
          </reference>
        </references>
      </pivotArea>
    </format>
    <format dxfId="533">
      <pivotArea dataOnly="0" labelOnly="1" fieldPosition="0">
        <references count="4">
          <reference field="0" count="1" selected="0">
            <x v="45"/>
          </reference>
          <reference field="1" count="1" selected="0">
            <x v="0"/>
          </reference>
          <reference field="12" count="1" selected="0">
            <x v="27"/>
          </reference>
          <reference field="26" count="1">
            <x v="19"/>
          </reference>
        </references>
      </pivotArea>
    </format>
    <format dxfId="532">
      <pivotArea dataOnly="0" labelOnly="1" fieldPosition="0">
        <references count="4">
          <reference field="0" count="1" selected="0">
            <x v="46"/>
          </reference>
          <reference field="1" count="1" selected="0">
            <x v="37"/>
          </reference>
          <reference field="12" count="1" selected="0">
            <x v="33"/>
          </reference>
          <reference field="26" count="1">
            <x v="14"/>
          </reference>
        </references>
      </pivotArea>
    </format>
    <format dxfId="531">
      <pivotArea dataOnly="0" labelOnly="1" fieldPosition="0">
        <references count="4">
          <reference field="0" count="1" selected="0">
            <x v="47"/>
          </reference>
          <reference field="1" count="1" selected="0">
            <x v="7"/>
          </reference>
          <reference field="12" count="1" selected="0">
            <x v="40"/>
          </reference>
          <reference field="26" count="1">
            <x v="43"/>
          </reference>
        </references>
      </pivotArea>
    </format>
    <format dxfId="530">
      <pivotArea dataOnly="0" labelOnly="1" fieldPosition="0">
        <references count="4">
          <reference field="0" count="1" selected="0">
            <x v="48"/>
          </reference>
          <reference field="1" count="1" selected="0">
            <x v="8"/>
          </reference>
          <reference field="12" count="1" selected="0">
            <x v="26"/>
          </reference>
          <reference field="26" count="1">
            <x v="33"/>
          </reference>
        </references>
      </pivotArea>
    </format>
    <format dxfId="529">
      <pivotArea dataOnly="0" labelOnly="1" fieldPosition="0">
        <references count="4">
          <reference field="0" count="1" selected="0">
            <x v="49"/>
          </reference>
          <reference field="1" count="1" selected="0">
            <x v="42"/>
          </reference>
          <reference field="12" count="1" selected="0">
            <x v="39"/>
          </reference>
          <reference field="26" count="1">
            <x v="39"/>
          </reference>
        </references>
      </pivotArea>
    </format>
    <format dxfId="528">
      <pivotArea dataOnly="0" labelOnly="1" fieldPosition="0">
        <references count="5">
          <reference field="0" count="1" selected="0">
            <x v="0"/>
          </reference>
          <reference field="1" count="1" selected="0">
            <x v="32"/>
          </reference>
          <reference field="8" count="1">
            <x v="0"/>
          </reference>
          <reference field="12" count="1" selected="0">
            <x v="0"/>
          </reference>
          <reference field="26" count="1" selected="0">
            <x v="43"/>
          </reference>
        </references>
      </pivotArea>
    </format>
    <format dxfId="527">
      <pivotArea dataOnly="0" labelOnly="1" fieldPosition="0">
        <references count="5">
          <reference field="0" count="1" selected="0">
            <x v="1"/>
          </reference>
          <reference field="1" count="1" selected="0">
            <x v="33"/>
          </reference>
          <reference field="8" count="1">
            <x v="0"/>
          </reference>
          <reference field="12" count="1" selected="0">
            <x v="18"/>
          </reference>
          <reference field="26" count="1" selected="0">
            <x v="38"/>
          </reference>
        </references>
      </pivotArea>
    </format>
    <format dxfId="526">
      <pivotArea dataOnly="0" labelOnly="1" fieldPosition="0">
        <references count="5">
          <reference field="0" count="1" selected="0">
            <x v="2"/>
          </reference>
          <reference field="1" count="1" selected="0">
            <x v="45"/>
          </reference>
          <reference field="8" count="1">
            <x v="1"/>
          </reference>
          <reference field="12" count="1" selected="0">
            <x v="10"/>
          </reference>
          <reference field="26" count="1" selected="0">
            <x v="15"/>
          </reference>
        </references>
      </pivotArea>
    </format>
    <format dxfId="525">
      <pivotArea dataOnly="0" labelOnly="1" fieldPosition="0">
        <references count="5">
          <reference field="0" count="1" selected="0">
            <x v="3"/>
          </reference>
          <reference field="1" count="1" selected="0">
            <x v="34"/>
          </reference>
          <reference field="8" count="1">
            <x v="0"/>
          </reference>
          <reference field="12" count="1" selected="0">
            <x v="7"/>
          </reference>
          <reference field="26" count="1" selected="0">
            <x v="21"/>
          </reference>
        </references>
      </pivotArea>
    </format>
    <format dxfId="524">
      <pivotArea dataOnly="0" labelOnly="1" fieldPosition="0">
        <references count="5">
          <reference field="0" count="1" selected="0">
            <x v="4"/>
          </reference>
          <reference field="1" count="1" selected="0">
            <x v="3"/>
          </reference>
          <reference field="8" count="1">
            <x v="1"/>
          </reference>
          <reference field="12" count="1" selected="0">
            <x v="5"/>
          </reference>
          <reference field="26" count="1" selected="0">
            <x v="16"/>
          </reference>
        </references>
      </pivotArea>
    </format>
    <format dxfId="523">
      <pivotArea dataOnly="0" labelOnly="1" fieldPosition="0">
        <references count="5">
          <reference field="0" count="1" selected="0">
            <x v="5"/>
          </reference>
          <reference field="1" count="1" selected="0">
            <x v="26"/>
          </reference>
          <reference field="8" count="1">
            <x v="1"/>
          </reference>
          <reference field="12" count="1" selected="0">
            <x v="19"/>
          </reference>
          <reference field="26" count="1" selected="0">
            <x v="38"/>
          </reference>
        </references>
      </pivotArea>
    </format>
    <format dxfId="522">
      <pivotArea dataOnly="0" labelOnly="1" fieldPosition="0">
        <references count="5">
          <reference field="0" count="1" selected="0">
            <x v="6"/>
          </reference>
          <reference field="1" count="1" selected="0">
            <x v="31"/>
          </reference>
          <reference field="8" count="1">
            <x v="0"/>
          </reference>
          <reference field="12" count="1" selected="0">
            <x v="9"/>
          </reference>
          <reference field="26" count="1" selected="0">
            <x v="45"/>
          </reference>
        </references>
      </pivotArea>
    </format>
    <format dxfId="521">
      <pivotArea dataOnly="0" labelOnly="1" fieldPosition="0">
        <references count="5">
          <reference field="0" count="1" selected="0">
            <x v="7"/>
          </reference>
          <reference field="1" count="1" selected="0">
            <x v="27"/>
          </reference>
          <reference field="8" count="1">
            <x v="1"/>
          </reference>
          <reference field="12" count="1" selected="0">
            <x v="30"/>
          </reference>
          <reference field="26" count="1" selected="0">
            <x v="9"/>
          </reference>
        </references>
      </pivotArea>
    </format>
    <format dxfId="520">
      <pivotArea dataOnly="0" labelOnly="1" fieldPosition="0">
        <references count="5">
          <reference field="0" count="1" selected="0">
            <x v="8"/>
          </reference>
          <reference field="1" count="1" selected="0">
            <x v="30"/>
          </reference>
          <reference field="8" count="1">
            <x v="0"/>
          </reference>
          <reference field="12" count="1" selected="0">
            <x v="41"/>
          </reference>
          <reference field="26" count="1" selected="0">
            <x v="17"/>
          </reference>
        </references>
      </pivotArea>
    </format>
    <format dxfId="519">
      <pivotArea dataOnly="0" labelOnly="1" fieldPosition="0">
        <references count="5">
          <reference field="0" count="1" selected="0">
            <x v="9"/>
          </reference>
          <reference field="1" count="1" selected="0">
            <x v="28"/>
          </reference>
          <reference field="8" count="1">
            <x v="1"/>
          </reference>
          <reference field="12" count="1" selected="0">
            <x v="38"/>
          </reference>
          <reference field="26" count="1" selected="0">
            <x v="10"/>
          </reference>
        </references>
      </pivotArea>
    </format>
    <format dxfId="518">
      <pivotArea dataOnly="0" labelOnly="1" fieldPosition="0">
        <references count="5">
          <reference field="0" count="1" selected="0">
            <x v="10"/>
          </reference>
          <reference field="1" count="1" selected="0">
            <x v="41"/>
          </reference>
          <reference field="8" count="1">
            <x v="1"/>
          </reference>
          <reference field="12" count="1" selected="0">
            <x v="23"/>
          </reference>
          <reference field="26" count="1" selected="0">
            <x v="32"/>
          </reference>
        </references>
      </pivotArea>
    </format>
    <format dxfId="517">
      <pivotArea dataOnly="0" labelOnly="1" fieldPosition="0">
        <references count="5">
          <reference field="0" count="1" selected="0">
            <x v="11"/>
          </reference>
          <reference field="1" count="1" selected="0">
            <x v="29"/>
          </reference>
          <reference field="8" count="1">
            <x v="0"/>
          </reference>
          <reference field="12" count="1" selected="0">
            <x v="49"/>
          </reference>
          <reference field="26" count="1" selected="0">
            <x v="23"/>
          </reference>
        </references>
      </pivotArea>
    </format>
    <format dxfId="516">
      <pivotArea dataOnly="0" labelOnly="1" fieldPosition="0">
        <references count="5">
          <reference field="0" count="1" selected="0">
            <x v="12"/>
          </reference>
          <reference field="1" count="1" selected="0">
            <x v="36"/>
          </reference>
          <reference field="8" count="1">
            <x v="0"/>
          </reference>
          <reference field="12" count="1" selected="0">
            <x v="37"/>
          </reference>
          <reference field="26" count="1" selected="0">
            <x v="23"/>
          </reference>
        </references>
      </pivotArea>
    </format>
    <format dxfId="515">
      <pivotArea dataOnly="0" labelOnly="1" fieldPosition="0">
        <references count="5">
          <reference field="0" count="1" selected="0">
            <x v="13"/>
          </reference>
          <reference field="1" count="1" selected="0">
            <x v="11"/>
          </reference>
          <reference field="8" count="1">
            <x v="1"/>
          </reference>
          <reference field="12" count="1" selected="0">
            <x v="47"/>
          </reference>
          <reference field="26" count="1" selected="0">
            <x v="5"/>
          </reference>
        </references>
      </pivotArea>
    </format>
    <format dxfId="514">
      <pivotArea dataOnly="0" labelOnly="1" fieldPosition="0">
        <references count="5">
          <reference field="0" count="1" selected="0">
            <x v="14"/>
          </reference>
          <reference field="1" count="1" selected="0">
            <x v="40"/>
          </reference>
          <reference field="8" count="1">
            <x v="0"/>
          </reference>
          <reference field="12" count="1" selected="0">
            <x v="36"/>
          </reference>
          <reference field="26" count="1" selected="0">
            <x v="11"/>
          </reference>
        </references>
      </pivotArea>
    </format>
    <format dxfId="513">
      <pivotArea dataOnly="0" labelOnly="1" fieldPosition="0">
        <references count="5">
          <reference field="0" count="1" selected="0">
            <x v="15"/>
          </reference>
          <reference field="1" count="1" selected="0">
            <x v="12"/>
          </reference>
          <reference field="8" count="1">
            <x v="1"/>
          </reference>
          <reference field="12" count="1" selected="0">
            <x v="4"/>
          </reference>
          <reference field="26" count="1" selected="0">
            <x v="15"/>
          </reference>
        </references>
      </pivotArea>
    </format>
    <format dxfId="512">
      <pivotArea dataOnly="0" labelOnly="1" fieldPosition="0">
        <references count="5">
          <reference field="0" count="1" selected="0">
            <x v="16"/>
          </reference>
          <reference field="1" count="1" selected="0">
            <x v="13"/>
          </reference>
          <reference field="8" count="1">
            <x v="1"/>
          </reference>
          <reference field="12" count="1" selected="0">
            <x v="42"/>
          </reference>
          <reference field="26" count="1" selected="0">
            <x v="18"/>
          </reference>
        </references>
      </pivotArea>
    </format>
    <format dxfId="511">
      <pivotArea dataOnly="0" labelOnly="1" fieldPosition="0">
        <references count="5">
          <reference field="0" count="1" selected="0">
            <x v="17"/>
          </reference>
          <reference field="1" count="1" selected="0">
            <x v="14"/>
          </reference>
          <reference field="8" count="1">
            <x v="1"/>
          </reference>
          <reference field="12" count="1" selected="0">
            <x v="44"/>
          </reference>
          <reference field="26" count="1" selected="0">
            <x v="5"/>
          </reference>
        </references>
      </pivotArea>
    </format>
    <format dxfId="510">
      <pivotArea dataOnly="0" labelOnly="1" fieldPosition="0">
        <references count="5">
          <reference field="0" count="1" selected="0">
            <x v="18"/>
          </reference>
          <reference field="1" count="1" selected="0">
            <x v="2"/>
          </reference>
          <reference field="8" count="1">
            <x v="0"/>
          </reference>
          <reference field="12" count="1" selected="0">
            <x v="31"/>
          </reference>
          <reference field="26" count="1" selected="0">
            <x v="23"/>
          </reference>
        </references>
      </pivotArea>
    </format>
    <format dxfId="509">
      <pivotArea dataOnly="0" labelOnly="1" fieldPosition="0">
        <references count="5">
          <reference field="0" count="1" selected="0">
            <x v="19"/>
          </reference>
          <reference field="1" count="1" selected="0">
            <x v="24"/>
          </reference>
          <reference field="8" count="1">
            <x v="1"/>
          </reference>
          <reference field="12" count="1" selected="0">
            <x v="12"/>
          </reference>
          <reference field="26" count="1" selected="0">
            <x v="22"/>
          </reference>
        </references>
      </pivotArea>
    </format>
    <format dxfId="508">
      <pivotArea dataOnly="0" labelOnly="1" fieldPosition="0">
        <references count="5">
          <reference field="0" count="1" selected="0">
            <x v="20"/>
          </reference>
          <reference field="1" count="1" selected="0">
            <x v="25"/>
          </reference>
          <reference field="8" count="1">
            <x v="1"/>
          </reference>
          <reference field="12" count="1" selected="0">
            <x v="35"/>
          </reference>
          <reference field="26" count="1" selected="0">
            <x v="42"/>
          </reference>
        </references>
      </pivotArea>
    </format>
    <format dxfId="507">
      <pivotArea dataOnly="0" labelOnly="1" fieldPosition="0">
        <references count="5">
          <reference field="0" count="1" selected="0">
            <x v="21"/>
          </reference>
          <reference field="1" count="1" selected="0">
            <x v="1"/>
          </reference>
          <reference field="8" count="1">
            <x v="0"/>
          </reference>
          <reference field="12" count="1" selected="0">
            <x v="25"/>
          </reference>
          <reference field="26" count="1" selected="0">
            <x v="10"/>
          </reference>
        </references>
      </pivotArea>
    </format>
    <format dxfId="506">
      <pivotArea dataOnly="0" labelOnly="1" fieldPosition="0">
        <references count="5">
          <reference field="0" count="1" selected="0">
            <x v="22"/>
          </reference>
          <reference field="1" count="1" selected="0">
            <x v="4"/>
          </reference>
          <reference field="8" count="1">
            <x v="0"/>
          </reference>
          <reference field="12" count="1" selected="0">
            <x v="46"/>
          </reference>
          <reference field="26" count="1" selected="0">
            <x v="1"/>
          </reference>
        </references>
      </pivotArea>
    </format>
    <format dxfId="505">
      <pivotArea dataOnly="0" labelOnly="1" fieldPosition="0">
        <references count="5">
          <reference field="0" count="1" selected="0">
            <x v="23"/>
          </reference>
          <reference field="1" count="1" selected="0">
            <x v="5"/>
          </reference>
          <reference field="8" count="1">
            <x v="0"/>
          </reference>
          <reference field="12" count="1" selected="0">
            <x v="3"/>
          </reference>
          <reference field="26" count="1" selected="0">
            <x v="45"/>
          </reference>
        </references>
      </pivotArea>
    </format>
    <format dxfId="504">
      <pivotArea dataOnly="0" labelOnly="1" fieldPosition="0">
        <references count="5">
          <reference field="0" count="1" selected="0">
            <x v="24"/>
          </reference>
          <reference field="1" count="1" selected="0">
            <x v="6"/>
          </reference>
          <reference field="8" count="1">
            <x v="0"/>
          </reference>
          <reference field="12" count="1" selected="0">
            <x v="1"/>
          </reference>
          <reference field="26" count="1" selected="0">
            <x v="12"/>
          </reference>
        </references>
      </pivotArea>
    </format>
    <format dxfId="503">
      <pivotArea dataOnly="0" labelOnly="1" fieldPosition="0">
        <references count="5">
          <reference field="0" count="1" selected="0">
            <x v="25"/>
          </reference>
          <reference field="1" count="1" selected="0">
            <x v="35"/>
          </reference>
          <reference field="8" count="1">
            <x v="0"/>
          </reference>
          <reference field="12" count="1" selected="0">
            <x v="34"/>
          </reference>
          <reference field="26" count="1" selected="0">
            <x v="24"/>
          </reference>
        </references>
      </pivotArea>
    </format>
    <format dxfId="502">
      <pivotArea dataOnly="0" labelOnly="1" fieldPosition="0">
        <references count="5">
          <reference field="0" count="1" selected="0">
            <x v="26"/>
          </reference>
          <reference field="1" count="1" selected="0">
            <x v="9"/>
          </reference>
          <reference field="8" count="1">
            <x v="1"/>
          </reference>
          <reference field="12" count="1" selected="0">
            <x v="48"/>
          </reference>
          <reference field="26" count="1" selected="0">
            <x v="16"/>
          </reference>
        </references>
      </pivotArea>
    </format>
    <format dxfId="501">
      <pivotArea dataOnly="0" labelOnly="1" fieldPosition="0">
        <references count="5">
          <reference field="0" count="1" selected="0">
            <x v="27"/>
          </reference>
          <reference field="1" count="1" selected="0">
            <x v="10"/>
          </reference>
          <reference field="8" count="1">
            <x v="1"/>
          </reference>
          <reference field="12" count="1" selected="0">
            <x v="14"/>
          </reference>
          <reference field="26" count="1" selected="0">
            <x v="28"/>
          </reference>
        </references>
      </pivotArea>
    </format>
    <format dxfId="500">
      <pivotArea dataOnly="0" labelOnly="1" fieldPosition="0">
        <references count="5">
          <reference field="0" count="1" selected="0">
            <x v="28"/>
          </reference>
          <reference field="1" count="1" selected="0">
            <x v="39"/>
          </reference>
          <reference field="8" count="1">
            <x v="0"/>
          </reference>
          <reference field="12" count="1" selected="0">
            <x v="32"/>
          </reference>
          <reference field="26" count="1" selected="0">
            <x v="40"/>
          </reference>
        </references>
      </pivotArea>
    </format>
    <format dxfId="499">
      <pivotArea dataOnly="0" labelOnly="1" fieldPosition="0">
        <references count="5">
          <reference field="0" count="1" selected="0">
            <x v="29"/>
          </reference>
          <reference field="1" count="1" selected="0">
            <x v="23"/>
          </reference>
          <reference field="8" count="1">
            <x v="0"/>
          </reference>
          <reference field="12" count="1" selected="0">
            <x v="22"/>
          </reference>
          <reference field="26" count="1" selected="0">
            <x v="25"/>
          </reference>
        </references>
      </pivotArea>
    </format>
    <format dxfId="498">
      <pivotArea dataOnly="0" labelOnly="1" fieldPosition="0">
        <references count="5">
          <reference field="0" count="1" selected="0">
            <x v="30"/>
          </reference>
          <reference field="1" count="1" selected="0">
            <x v="22"/>
          </reference>
          <reference field="8" count="1">
            <x v="0"/>
          </reference>
          <reference field="12" count="1" selected="0">
            <x v="8"/>
          </reference>
          <reference field="26" count="1" selected="0">
            <x v="35"/>
          </reference>
        </references>
      </pivotArea>
    </format>
    <format dxfId="497">
      <pivotArea dataOnly="0" labelOnly="1" fieldPosition="0">
        <references count="5">
          <reference field="0" count="1" selected="0">
            <x v="31"/>
          </reference>
          <reference field="1" count="1" selected="0">
            <x v="21"/>
          </reference>
          <reference field="8" count="1">
            <x v="0"/>
          </reference>
          <reference field="12" count="1" selected="0">
            <x v="6"/>
          </reference>
          <reference field="26" count="1" selected="0">
            <x v="16"/>
          </reference>
        </references>
      </pivotArea>
    </format>
    <format dxfId="496">
      <pivotArea dataOnly="0" labelOnly="1" fieldPosition="0">
        <references count="5">
          <reference field="0" count="1" selected="0">
            <x v="32"/>
          </reference>
          <reference field="1" count="1" selected="0">
            <x v="19"/>
          </reference>
          <reference field="8" count="1">
            <x v="1"/>
          </reference>
          <reference field="12" count="1" selected="0">
            <x v="45"/>
          </reference>
          <reference field="26" count="1" selected="0">
            <x v="26"/>
          </reference>
        </references>
      </pivotArea>
    </format>
    <format dxfId="495">
      <pivotArea dataOnly="0" labelOnly="1" fieldPosition="0">
        <references count="5">
          <reference field="0" count="1" selected="0">
            <x v="33"/>
          </reference>
          <reference field="1" count="1" selected="0">
            <x v="20"/>
          </reference>
          <reference field="8" count="1">
            <x v="1"/>
          </reference>
          <reference field="12" count="1" selected="0">
            <x v="17"/>
          </reference>
          <reference field="26" count="1" selected="0">
            <x v="27"/>
          </reference>
        </references>
      </pivotArea>
    </format>
    <format dxfId="494">
      <pivotArea dataOnly="0" labelOnly="1" fieldPosition="0">
        <references count="5">
          <reference field="0" count="1" selected="0">
            <x v="34"/>
          </reference>
          <reference field="1" count="1" selected="0">
            <x v="16"/>
          </reference>
          <reference field="8" count="1">
            <x v="1"/>
          </reference>
          <reference field="12" count="1" selected="0">
            <x v="16"/>
          </reference>
          <reference field="26" count="1" selected="0">
            <x v="1"/>
          </reference>
        </references>
      </pivotArea>
    </format>
    <format dxfId="493">
      <pivotArea dataOnly="0" labelOnly="1" fieldPosition="0">
        <references count="5">
          <reference field="0" count="1" selected="0">
            <x v="35"/>
          </reference>
          <reference field="1" count="1" selected="0">
            <x v="17"/>
          </reference>
          <reference field="8" count="1">
            <x v="1"/>
          </reference>
          <reference field="12" count="1" selected="0">
            <x v="15"/>
          </reference>
          <reference field="26" count="1" selected="0">
            <x v="21"/>
          </reference>
        </references>
      </pivotArea>
    </format>
    <format dxfId="492">
      <pivotArea dataOnly="0" labelOnly="1" fieldPosition="0">
        <references count="5">
          <reference field="0" count="1" selected="0">
            <x v="36"/>
          </reference>
          <reference field="1" count="1" selected="0">
            <x v="15"/>
          </reference>
          <reference field="8" count="1">
            <x v="1"/>
          </reference>
          <reference field="12" count="1" selected="0">
            <x v="20"/>
          </reference>
          <reference field="26" count="1" selected="0">
            <x v="32"/>
          </reference>
        </references>
      </pivotArea>
    </format>
    <format dxfId="491">
      <pivotArea dataOnly="0" labelOnly="1" fieldPosition="0">
        <references count="5">
          <reference field="0" count="1" selected="0">
            <x v="37"/>
          </reference>
          <reference field="1" count="1" selected="0">
            <x v="18"/>
          </reference>
          <reference field="8" count="1">
            <x v="1"/>
          </reference>
          <reference field="12" count="1" selected="0">
            <x v="13"/>
          </reference>
          <reference field="26" count="1" selected="0">
            <x v="29"/>
          </reference>
        </references>
      </pivotArea>
    </format>
    <format dxfId="490">
      <pivotArea dataOnly="0" labelOnly="1" fieldPosition="0">
        <references count="5">
          <reference field="0" count="1" selected="0">
            <x v="38"/>
          </reference>
          <reference field="1" count="1" selected="0">
            <x v="44"/>
          </reference>
          <reference field="8" count="1">
            <x v="1"/>
          </reference>
          <reference field="12" count="1" selected="0">
            <x v="43"/>
          </reference>
          <reference field="26" count="1" selected="0">
            <x v="30"/>
          </reference>
        </references>
      </pivotArea>
    </format>
    <format dxfId="489">
      <pivotArea dataOnly="0" labelOnly="1" fieldPosition="0">
        <references count="5">
          <reference field="0" count="1" selected="0">
            <x v="39"/>
          </reference>
          <reference field="1" count="1" selected="0">
            <x v="43"/>
          </reference>
          <reference field="8" count="1">
            <x v="1"/>
          </reference>
          <reference field="12" count="1" selected="0">
            <x v="28"/>
          </reference>
          <reference field="26" count="1" selected="0">
            <x v="34"/>
          </reference>
        </references>
      </pivotArea>
    </format>
    <format dxfId="488">
      <pivotArea dataOnly="0" labelOnly="1" fieldPosition="0">
        <references count="5">
          <reference field="0" count="1" selected="0">
            <x v="40"/>
          </reference>
          <reference field="1" count="1" selected="0">
            <x v="49"/>
          </reference>
          <reference field="8" count="1">
            <x v="0"/>
          </reference>
          <reference field="12" count="1" selected="0">
            <x v="24"/>
          </reference>
          <reference field="26" count="1" selected="0">
            <x v="20"/>
          </reference>
        </references>
      </pivotArea>
    </format>
    <format dxfId="487">
      <pivotArea dataOnly="0" labelOnly="1" fieldPosition="0">
        <references count="5">
          <reference field="0" count="1" selected="0">
            <x v="41"/>
          </reference>
          <reference field="1" count="1" selected="0">
            <x v="46"/>
          </reference>
          <reference field="8" count="1">
            <x v="0"/>
          </reference>
          <reference field="12" count="1" selected="0">
            <x v="11"/>
          </reference>
          <reference field="26" count="1" selected="0">
            <x v="36"/>
          </reference>
        </references>
      </pivotArea>
    </format>
    <format dxfId="486">
      <pivotArea dataOnly="0" labelOnly="1" fieldPosition="0">
        <references count="5">
          <reference field="0" count="1" selected="0">
            <x v="42"/>
          </reference>
          <reference field="1" count="1" selected="0">
            <x v="48"/>
          </reference>
          <reference field="8" count="1">
            <x v="0"/>
          </reference>
          <reference field="12" count="1" selected="0">
            <x v="2"/>
          </reference>
          <reference field="26" count="1" selected="0">
            <x v="6"/>
          </reference>
        </references>
      </pivotArea>
    </format>
    <format dxfId="485">
      <pivotArea dataOnly="0" labelOnly="1" fieldPosition="0">
        <references count="5">
          <reference field="0" count="1" selected="0">
            <x v="43"/>
          </reference>
          <reference field="1" count="1" selected="0">
            <x v="47"/>
          </reference>
          <reference field="8" count="1">
            <x v="0"/>
          </reference>
          <reference field="12" count="1" selected="0">
            <x v="21"/>
          </reference>
          <reference field="26" count="1" selected="0">
            <x v="11"/>
          </reference>
        </references>
      </pivotArea>
    </format>
    <format dxfId="484">
      <pivotArea dataOnly="0" labelOnly="1" fieldPosition="0">
        <references count="5">
          <reference field="0" count="1" selected="0">
            <x v="44"/>
          </reference>
          <reference field="1" count="1" selected="0">
            <x v="38"/>
          </reference>
          <reference field="8" count="1">
            <x v="0"/>
          </reference>
          <reference field="12" count="1" selected="0">
            <x v="29"/>
          </reference>
          <reference field="26" count="1" selected="0">
            <x v="6"/>
          </reference>
        </references>
      </pivotArea>
    </format>
    <format dxfId="483">
      <pivotArea dataOnly="0" labelOnly="1" fieldPosition="0">
        <references count="5">
          <reference field="0" count="1" selected="0">
            <x v="45"/>
          </reference>
          <reference field="1" count="1" selected="0">
            <x v="0"/>
          </reference>
          <reference field="8" count="1">
            <x v="1"/>
          </reference>
          <reference field="12" count="1" selected="0">
            <x v="27"/>
          </reference>
          <reference field="26" count="1" selected="0">
            <x v="19"/>
          </reference>
        </references>
      </pivotArea>
    </format>
    <format dxfId="482">
      <pivotArea dataOnly="0" labelOnly="1" fieldPosition="0">
        <references count="5">
          <reference field="0" count="1" selected="0">
            <x v="46"/>
          </reference>
          <reference field="1" count="1" selected="0">
            <x v="37"/>
          </reference>
          <reference field="8" count="1">
            <x v="0"/>
          </reference>
          <reference field="12" count="1" selected="0">
            <x v="33"/>
          </reference>
          <reference field="26" count="1" selected="0">
            <x v="14"/>
          </reference>
        </references>
      </pivotArea>
    </format>
    <format dxfId="481">
      <pivotArea dataOnly="0" labelOnly="1" fieldPosition="0">
        <references count="5">
          <reference field="0" count="1" selected="0">
            <x v="47"/>
          </reference>
          <reference field="1" count="1" selected="0">
            <x v="7"/>
          </reference>
          <reference field="8" count="1">
            <x v="0"/>
          </reference>
          <reference field="12" count="1" selected="0">
            <x v="40"/>
          </reference>
          <reference field="26" count="1" selected="0">
            <x v="43"/>
          </reference>
        </references>
      </pivotArea>
    </format>
    <format dxfId="480">
      <pivotArea dataOnly="0" labelOnly="1" fieldPosition="0">
        <references count="5">
          <reference field="0" count="1" selected="0">
            <x v="48"/>
          </reference>
          <reference field="1" count="1" selected="0">
            <x v="8"/>
          </reference>
          <reference field="8" count="1">
            <x v="1"/>
          </reference>
          <reference field="12" count="1" selected="0">
            <x v="26"/>
          </reference>
          <reference field="26" count="1" selected="0">
            <x v="33"/>
          </reference>
        </references>
      </pivotArea>
    </format>
    <format dxfId="479">
      <pivotArea dataOnly="0" labelOnly="1" fieldPosition="0">
        <references count="5">
          <reference field="0" count="1" selected="0">
            <x v="49"/>
          </reference>
          <reference field="1" count="1" selected="0">
            <x v="42"/>
          </reference>
          <reference field="8" count="1">
            <x v="1"/>
          </reference>
          <reference field="12" count="1" selected="0">
            <x v="39"/>
          </reference>
          <reference field="26" count="1" selected="0">
            <x v="39"/>
          </reference>
        </references>
      </pivotArea>
    </format>
    <format dxfId="478">
      <pivotArea dataOnly="0" labelOnly="1" fieldPosition="0">
        <references count="6">
          <reference field="0" count="1" selected="0">
            <x v="0"/>
          </reference>
          <reference field="1" count="1" selected="0">
            <x v="32"/>
          </reference>
          <reference field="6" count="1">
            <x v="47"/>
          </reference>
          <reference field="8" count="1" selected="0">
            <x v="0"/>
          </reference>
          <reference field="12" count="1" selected="0">
            <x v="0"/>
          </reference>
          <reference field="26" count="1" selected="0">
            <x v="43"/>
          </reference>
        </references>
      </pivotArea>
    </format>
    <format dxfId="477">
      <pivotArea dataOnly="0" labelOnly="1" fieldPosition="0">
        <references count="6">
          <reference field="0" count="1" selected="0">
            <x v="1"/>
          </reference>
          <reference field="1" count="1" selected="0">
            <x v="33"/>
          </reference>
          <reference field="6" count="1">
            <x v="41"/>
          </reference>
          <reference field="8" count="1" selected="0">
            <x v="0"/>
          </reference>
          <reference field="12" count="1" selected="0">
            <x v="18"/>
          </reference>
          <reference field="26" count="1" selected="0">
            <x v="38"/>
          </reference>
        </references>
      </pivotArea>
    </format>
    <format dxfId="476">
      <pivotArea dataOnly="0" labelOnly="1" fieldPosition="0">
        <references count="6">
          <reference field="0" count="1" selected="0">
            <x v="3"/>
          </reference>
          <reference field="1" count="1" selected="0">
            <x v="34"/>
          </reference>
          <reference field="6" count="1">
            <x v="23"/>
          </reference>
          <reference field="8" count="1" selected="0">
            <x v="0"/>
          </reference>
          <reference field="12" count="1" selected="0">
            <x v="7"/>
          </reference>
          <reference field="26" count="1" selected="0">
            <x v="21"/>
          </reference>
        </references>
      </pivotArea>
    </format>
    <format dxfId="475">
      <pivotArea dataOnly="0" labelOnly="1" fieldPosition="0">
        <references count="6">
          <reference field="0" count="1" selected="0">
            <x v="6"/>
          </reference>
          <reference field="1" count="1" selected="0">
            <x v="31"/>
          </reference>
          <reference field="6" count="1">
            <x v="48"/>
          </reference>
          <reference field="8" count="1" selected="0">
            <x v="0"/>
          </reference>
          <reference field="12" count="1" selected="0">
            <x v="9"/>
          </reference>
          <reference field="26" count="1" selected="0">
            <x v="45"/>
          </reference>
        </references>
      </pivotArea>
    </format>
    <format dxfId="474">
      <pivotArea dataOnly="0" labelOnly="1" fieldPosition="0">
        <references count="6">
          <reference field="0" count="1" selected="0">
            <x v="8"/>
          </reference>
          <reference field="1" count="1" selected="0">
            <x v="30"/>
          </reference>
          <reference field="6" count="1">
            <x v="18"/>
          </reference>
          <reference field="8" count="1" selected="0">
            <x v="0"/>
          </reference>
          <reference field="12" count="1" selected="0">
            <x v="41"/>
          </reference>
          <reference field="26" count="1" selected="0">
            <x v="17"/>
          </reference>
        </references>
      </pivotArea>
    </format>
    <format dxfId="473">
      <pivotArea dataOnly="0" labelOnly="1" fieldPosition="0">
        <references count="6">
          <reference field="0" count="1" selected="0">
            <x v="11"/>
          </reference>
          <reference field="1" count="1" selected="0">
            <x v="29"/>
          </reference>
          <reference field="6" count="1">
            <x v="27"/>
          </reference>
          <reference field="8" count="1" selected="0">
            <x v="0"/>
          </reference>
          <reference field="12" count="1" selected="0">
            <x v="49"/>
          </reference>
          <reference field="26" count="1" selected="0">
            <x v="23"/>
          </reference>
        </references>
      </pivotArea>
    </format>
    <format dxfId="472">
      <pivotArea dataOnly="0" labelOnly="1" fieldPosition="0">
        <references count="6">
          <reference field="0" count="1" selected="0">
            <x v="12"/>
          </reference>
          <reference field="1" count="1" selected="0">
            <x v="36"/>
          </reference>
          <reference field="6" count="1">
            <x v="25"/>
          </reference>
          <reference field="8" count="1" selected="0">
            <x v="0"/>
          </reference>
          <reference field="12" count="1" selected="0">
            <x v="37"/>
          </reference>
          <reference field="26" count="1" selected="0">
            <x v="23"/>
          </reference>
        </references>
      </pivotArea>
    </format>
    <format dxfId="471">
      <pivotArea dataOnly="0" labelOnly="1" fieldPosition="0">
        <references count="6">
          <reference field="0" count="1" selected="0">
            <x v="14"/>
          </reference>
          <reference field="1" count="1" selected="0">
            <x v="40"/>
          </reference>
          <reference field="6" count="1">
            <x v="9"/>
          </reference>
          <reference field="8" count="1" selected="0">
            <x v="0"/>
          </reference>
          <reference field="12" count="1" selected="0">
            <x v="36"/>
          </reference>
          <reference field="26" count="1" selected="0">
            <x v="11"/>
          </reference>
        </references>
      </pivotArea>
    </format>
    <format dxfId="470">
      <pivotArea dataOnly="0" labelOnly="1" fieldPosition="0">
        <references count="6">
          <reference field="0" count="1" selected="0">
            <x v="18"/>
          </reference>
          <reference field="1" count="1" selected="0">
            <x v="2"/>
          </reference>
          <reference field="6" count="1">
            <x v="26"/>
          </reference>
          <reference field="8" count="1" selected="0">
            <x v="0"/>
          </reference>
          <reference field="12" count="1" selected="0">
            <x v="31"/>
          </reference>
          <reference field="26" count="1" selected="0">
            <x v="23"/>
          </reference>
        </references>
      </pivotArea>
    </format>
    <format dxfId="469">
      <pivotArea dataOnly="0" labelOnly="1" fieldPosition="0">
        <references count="6">
          <reference field="0" count="1" selected="0">
            <x v="21"/>
          </reference>
          <reference field="1" count="1" selected="0">
            <x v="1"/>
          </reference>
          <reference field="6" count="1">
            <x v="7"/>
          </reference>
          <reference field="8" count="1" selected="0">
            <x v="0"/>
          </reference>
          <reference field="12" count="1" selected="0">
            <x v="25"/>
          </reference>
          <reference field="26" count="1" selected="0">
            <x v="10"/>
          </reference>
        </references>
      </pivotArea>
    </format>
    <format dxfId="468">
      <pivotArea dataOnly="0" labelOnly="1" fieldPosition="0">
        <references count="6">
          <reference field="0" count="1" selected="0">
            <x v="22"/>
          </reference>
          <reference field="1" count="1" selected="0">
            <x v="4"/>
          </reference>
          <reference field="6" count="1">
            <x v="1"/>
          </reference>
          <reference field="8" count="1" selected="0">
            <x v="0"/>
          </reference>
          <reference field="12" count="1" selected="0">
            <x v="46"/>
          </reference>
          <reference field="26" count="1" selected="0">
            <x v="1"/>
          </reference>
        </references>
      </pivotArea>
    </format>
    <format dxfId="467">
      <pivotArea dataOnly="0" labelOnly="1" fieldPosition="0">
        <references count="6">
          <reference field="0" count="1" selected="0">
            <x v="23"/>
          </reference>
          <reference field="1" count="1" selected="0">
            <x v="5"/>
          </reference>
          <reference field="6" count="1">
            <x v="49"/>
          </reference>
          <reference field="8" count="1" selected="0">
            <x v="0"/>
          </reference>
          <reference field="12" count="1" selected="0">
            <x v="3"/>
          </reference>
          <reference field="26" count="1" selected="0">
            <x v="45"/>
          </reference>
        </references>
      </pivotArea>
    </format>
    <format dxfId="466">
      <pivotArea dataOnly="0" labelOnly="1" fieldPosition="0">
        <references count="6">
          <reference field="0" count="1" selected="0">
            <x v="24"/>
          </reference>
          <reference field="1" count="1" selected="0">
            <x v="6"/>
          </reference>
          <reference field="6" count="1">
            <x v="11"/>
          </reference>
          <reference field="8" count="1" selected="0">
            <x v="0"/>
          </reference>
          <reference field="12" count="1" selected="0">
            <x v="1"/>
          </reference>
          <reference field="26" count="1" selected="0">
            <x v="12"/>
          </reference>
        </references>
      </pivotArea>
    </format>
    <format dxfId="465">
      <pivotArea dataOnly="0" labelOnly="1" fieldPosition="0">
        <references count="6">
          <reference field="0" count="1" selected="0">
            <x v="25"/>
          </reference>
          <reference field="1" count="1" selected="0">
            <x v="35"/>
          </reference>
          <reference field="6" count="1">
            <x v="28"/>
          </reference>
          <reference field="8" count="1" selected="0">
            <x v="0"/>
          </reference>
          <reference field="12" count="1" selected="0">
            <x v="34"/>
          </reference>
          <reference field="26" count="1" selected="0">
            <x v="24"/>
          </reference>
        </references>
      </pivotArea>
    </format>
    <format dxfId="464">
      <pivotArea dataOnly="0" labelOnly="1" fieldPosition="0">
        <references count="6">
          <reference field="0" count="1" selected="0">
            <x v="28"/>
          </reference>
          <reference field="1" count="1" selected="0">
            <x v="39"/>
          </reference>
          <reference field="6" count="1">
            <x v="44"/>
          </reference>
          <reference field="8" count="1" selected="0">
            <x v="0"/>
          </reference>
          <reference field="12" count="1" selected="0">
            <x v="32"/>
          </reference>
          <reference field="26" count="1" selected="0">
            <x v="40"/>
          </reference>
        </references>
      </pivotArea>
    </format>
    <format dxfId="463">
      <pivotArea dataOnly="0" labelOnly="1" fieldPosition="0">
        <references count="6">
          <reference field="0" count="1" selected="0">
            <x v="29"/>
          </reference>
          <reference field="1" count="1" selected="0">
            <x v="23"/>
          </reference>
          <reference field="6" count="1">
            <x v="29"/>
          </reference>
          <reference field="8" count="1" selected="0">
            <x v="0"/>
          </reference>
          <reference field="12" count="1" selected="0">
            <x v="22"/>
          </reference>
          <reference field="26" count="1" selected="0">
            <x v="25"/>
          </reference>
        </references>
      </pivotArea>
    </format>
    <format dxfId="462">
      <pivotArea dataOnly="0" labelOnly="1" fieldPosition="0">
        <references count="6">
          <reference field="0" count="1" selected="0">
            <x v="30"/>
          </reference>
          <reference field="1" count="1" selected="0">
            <x v="22"/>
          </reference>
          <reference field="6" count="1">
            <x v="39"/>
          </reference>
          <reference field="8" count="1" selected="0">
            <x v="0"/>
          </reference>
          <reference field="12" count="1" selected="0">
            <x v="8"/>
          </reference>
          <reference field="26" count="1" selected="0">
            <x v="35"/>
          </reference>
        </references>
      </pivotArea>
    </format>
    <format dxfId="461">
      <pivotArea dataOnly="0" labelOnly="1" fieldPosition="0">
        <references count="6">
          <reference field="0" count="1" selected="0">
            <x v="31"/>
          </reference>
          <reference field="1" count="1" selected="0">
            <x v="21"/>
          </reference>
          <reference field="6" count="1">
            <x v="17"/>
          </reference>
          <reference field="8" count="1" selected="0">
            <x v="0"/>
          </reference>
          <reference field="12" count="1" selected="0">
            <x v="6"/>
          </reference>
          <reference field="26" count="1" selected="0">
            <x v="16"/>
          </reference>
        </references>
      </pivotArea>
    </format>
    <format dxfId="460">
      <pivotArea dataOnly="0" labelOnly="1" fieldPosition="0">
        <references count="6">
          <reference field="0" count="1" selected="0">
            <x v="40"/>
          </reference>
          <reference field="1" count="1" selected="0">
            <x v="49"/>
          </reference>
          <reference field="6" count="1">
            <x v="21"/>
          </reference>
          <reference field="8" count="1" selected="0">
            <x v="0"/>
          </reference>
          <reference field="12" count="1" selected="0">
            <x v="24"/>
          </reference>
          <reference field="26" count="1" selected="0">
            <x v="20"/>
          </reference>
        </references>
      </pivotArea>
    </format>
    <format dxfId="459">
      <pivotArea dataOnly="0" labelOnly="1" fieldPosition="0">
        <references count="6">
          <reference field="0" count="1" selected="0">
            <x v="41"/>
          </reference>
          <reference field="1" count="1" selected="0">
            <x v="46"/>
          </reference>
          <reference field="6" count="1">
            <x v="40"/>
          </reference>
          <reference field="8" count="1" selected="0">
            <x v="0"/>
          </reference>
          <reference field="12" count="1" selected="0">
            <x v="11"/>
          </reference>
          <reference field="26" count="1" selected="0">
            <x v="36"/>
          </reference>
        </references>
      </pivotArea>
    </format>
    <format dxfId="458">
      <pivotArea dataOnly="0" labelOnly="1" fieldPosition="0">
        <references count="6">
          <reference field="0" count="1" selected="0">
            <x v="42"/>
          </reference>
          <reference field="1" count="1" selected="0">
            <x v="48"/>
          </reference>
          <reference field="6" count="1">
            <x v="4"/>
          </reference>
          <reference field="8" count="1" selected="0">
            <x v="0"/>
          </reference>
          <reference field="12" count="1" selected="0">
            <x v="2"/>
          </reference>
          <reference field="26" count="1" selected="0">
            <x v="6"/>
          </reference>
        </references>
      </pivotArea>
    </format>
    <format dxfId="457">
      <pivotArea dataOnly="0" labelOnly="1" fieldPosition="0">
        <references count="6">
          <reference field="0" count="1" selected="0">
            <x v="43"/>
          </reference>
          <reference field="1" count="1" selected="0">
            <x v="47"/>
          </reference>
          <reference field="6" count="1">
            <x v="10"/>
          </reference>
          <reference field="8" count="1" selected="0">
            <x v="0"/>
          </reference>
          <reference field="12" count="1" selected="0">
            <x v="21"/>
          </reference>
          <reference field="26" count="1" selected="0">
            <x v="11"/>
          </reference>
        </references>
      </pivotArea>
    </format>
    <format dxfId="456">
      <pivotArea dataOnly="0" labelOnly="1" fieldPosition="0">
        <references count="6">
          <reference field="0" count="1" selected="0">
            <x v="44"/>
          </reference>
          <reference field="1" count="1" selected="0">
            <x v="38"/>
          </reference>
          <reference field="6" count="1">
            <x v="5"/>
          </reference>
          <reference field="8" count="1" selected="0">
            <x v="0"/>
          </reference>
          <reference field="12" count="1" selected="0">
            <x v="29"/>
          </reference>
          <reference field="26" count="1" selected="0">
            <x v="6"/>
          </reference>
        </references>
      </pivotArea>
    </format>
    <format dxfId="455">
      <pivotArea dataOnly="0" labelOnly="1" fieldPosition="0">
        <references count="6">
          <reference field="0" count="1" selected="0">
            <x v="46"/>
          </reference>
          <reference field="1" count="1" selected="0">
            <x v="37"/>
          </reference>
          <reference field="6" count="1">
            <x v="12"/>
          </reference>
          <reference field="8" count="1" selected="0">
            <x v="0"/>
          </reference>
          <reference field="12" count="1" selected="0">
            <x v="33"/>
          </reference>
          <reference field="26" count="1" selected="0">
            <x v="14"/>
          </reference>
        </references>
      </pivotArea>
    </format>
    <format dxfId="454">
      <pivotArea dataOnly="0" labelOnly="1" fieldPosition="0">
        <references count="6">
          <reference field="0" count="1" selected="0">
            <x v="47"/>
          </reference>
          <reference field="1" count="1" selected="0">
            <x v="7"/>
          </reference>
          <reference field="6" count="1">
            <x v="46"/>
          </reference>
          <reference field="8" count="1" selected="0">
            <x v="0"/>
          </reference>
          <reference field="12" count="1" selected="0">
            <x v="40"/>
          </reference>
          <reference field="26" count="1" selected="0">
            <x v="43"/>
          </reference>
        </references>
      </pivotArea>
    </format>
    <format dxfId="453">
      <pivotArea dataOnly="0" labelOnly="1" fieldPosition="0">
        <references count="7">
          <reference field="0" count="1" selected="0">
            <x v="0"/>
          </reference>
          <reference field="1" count="1" selected="0">
            <x v="32"/>
          </reference>
          <reference field="6" count="1" selected="0">
            <x v="47"/>
          </reference>
          <reference field="8" count="1" selected="0">
            <x v="0"/>
          </reference>
          <reference field="11" count="1">
            <x v="1"/>
          </reference>
          <reference field="12" count="1" selected="0">
            <x v="0"/>
          </reference>
          <reference field="26" count="1" selected="0">
            <x v="43"/>
          </reference>
        </references>
      </pivotArea>
    </format>
    <format dxfId="452">
      <pivotArea dataOnly="0" labelOnly="1" fieldPosition="0">
        <references count="7">
          <reference field="0" count="1" selected="0">
            <x v="1"/>
          </reference>
          <reference field="1" count="1" selected="0">
            <x v="33"/>
          </reference>
          <reference field="6" count="1" selected="0">
            <x v="41"/>
          </reference>
          <reference field="8" count="1" selected="0">
            <x v="0"/>
          </reference>
          <reference field="11" count="1">
            <x v="1"/>
          </reference>
          <reference field="12" count="1" selected="0">
            <x v="18"/>
          </reference>
          <reference field="26" count="1" selected="0">
            <x v="38"/>
          </reference>
        </references>
      </pivotArea>
    </format>
    <format dxfId="451">
      <pivotArea dataOnly="0" labelOnly="1" fieldPosition="0">
        <references count="7">
          <reference field="0" count="1" selected="0">
            <x v="3"/>
          </reference>
          <reference field="1" count="1" selected="0">
            <x v="34"/>
          </reference>
          <reference field="6" count="1" selected="0">
            <x v="23"/>
          </reference>
          <reference field="8" count="1" selected="0">
            <x v="0"/>
          </reference>
          <reference field="11" count="1">
            <x v="1"/>
          </reference>
          <reference field="12" count="1" selected="0">
            <x v="7"/>
          </reference>
          <reference field="26" count="1" selected="0">
            <x v="21"/>
          </reference>
        </references>
      </pivotArea>
    </format>
    <format dxfId="450">
      <pivotArea dataOnly="0" labelOnly="1" fieldPosition="0">
        <references count="7">
          <reference field="0" count="1" selected="0">
            <x v="6"/>
          </reference>
          <reference field="1" count="1" selected="0">
            <x v="31"/>
          </reference>
          <reference field="6" count="1" selected="0">
            <x v="48"/>
          </reference>
          <reference field="8" count="1" selected="0">
            <x v="0"/>
          </reference>
          <reference field="11" count="1">
            <x v="1"/>
          </reference>
          <reference field="12" count="1" selected="0">
            <x v="9"/>
          </reference>
          <reference field="26" count="1" selected="0">
            <x v="45"/>
          </reference>
        </references>
      </pivotArea>
    </format>
    <format dxfId="449">
      <pivotArea dataOnly="0" labelOnly="1" fieldPosition="0">
        <references count="7">
          <reference field="0" count="1" selected="0">
            <x v="8"/>
          </reference>
          <reference field="1" count="1" selected="0">
            <x v="30"/>
          </reference>
          <reference field="6" count="1" selected="0">
            <x v="18"/>
          </reference>
          <reference field="8" count="1" selected="0">
            <x v="0"/>
          </reference>
          <reference field="11" count="1">
            <x v="1"/>
          </reference>
          <reference field="12" count="1" selected="0">
            <x v="41"/>
          </reference>
          <reference field="26" count="1" selected="0">
            <x v="17"/>
          </reference>
        </references>
      </pivotArea>
    </format>
    <format dxfId="448">
      <pivotArea dataOnly="0" labelOnly="1" fieldPosition="0">
        <references count="7">
          <reference field="0" count="1" selected="0">
            <x v="11"/>
          </reference>
          <reference field="1" count="1" selected="0">
            <x v="29"/>
          </reference>
          <reference field="6" count="1" selected="0">
            <x v="27"/>
          </reference>
          <reference field="8" count="1" selected="0">
            <x v="0"/>
          </reference>
          <reference field="11" count="1">
            <x v="1"/>
          </reference>
          <reference field="12" count="1" selected="0">
            <x v="49"/>
          </reference>
          <reference field="26" count="1" selected="0">
            <x v="23"/>
          </reference>
        </references>
      </pivotArea>
    </format>
    <format dxfId="447">
      <pivotArea dataOnly="0" labelOnly="1" fieldPosition="0">
        <references count="7">
          <reference field="0" count="1" selected="0">
            <x v="12"/>
          </reference>
          <reference field="1" count="1" selected="0">
            <x v="36"/>
          </reference>
          <reference field="6" count="1" selected="0">
            <x v="25"/>
          </reference>
          <reference field="8" count="1" selected="0">
            <x v="0"/>
          </reference>
          <reference field="11" count="1">
            <x v="1"/>
          </reference>
          <reference field="12" count="1" selected="0">
            <x v="37"/>
          </reference>
          <reference field="26" count="1" selected="0">
            <x v="23"/>
          </reference>
        </references>
      </pivotArea>
    </format>
    <format dxfId="446">
      <pivotArea dataOnly="0" labelOnly="1" fieldPosition="0">
        <references count="7">
          <reference field="0" count="1" selected="0">
            <x v="14"/>
          </reference>
          <reference field="1" count="1" selected="0">
            <x v="40"/>
          </reference>
          <reference field="6" count="1" selected="0">
            <x v="9"/>
          </reference>
          <reference field="8" count="1" selected="0">
            <x v="0"/>
          </reference>
          <reference field="11" count="1">
            <x v="3"/>
          </reference>
          <reference field="12" count="1" selected="0">
            <x v="36"/>
          </reference>
          <reference field="26" count="1" selected="0">
            <x v="11"/>
          </reference>
        </references>
      </pivotArea>
    </format>
    <format dxfId="445">
      <pivotArea dataOnly="0" labelOnly="1" fieldPosition="0">
        <references count="7">
          <reference field="0" count="1" selected="0">
            <x v="18"/>
          </reference>
          <reference field="1" count="1" selected="0">
            <x v="2"/>
          </reference>
          <reference field="6" count="1" selected="0">
            <x v="26"/>
          </reference>
          <reference field="8" count="1" selected="0">
            <x v="0"/>
          </reference>
          <reference field="11" count="1">
            <x v="1"/>
          </reference>
          <reference field="12" count="1" selected="0">
            <x v="31"/>
          </reference>
          <reference field="26" count="1" selected="0">
            <x v="23"/>
          </reference>
        </references>
      </pivotArea>
    </format>
    <format dxfId="444">
      <pivotArea dataOnly="0" labelOnly="1" fieldPosition="0">
        <references count="7">
          <reference field="0" count="1" selected="0">
            <x v="21"/>
          </reference>
          <reference field="1" count="1" selected="0">
            <x v="1"/>
          </reference>
          <reference field="6" count="1" selected="0">
            <x v="7"/>
          </reference>
          <reference field="8" count="1" selected="0">
            <x v="0"/>
          </reference>
          <reference field="11" count="1">
            <x v="1"/>
          </reference>
          <reference field="12" count="1" selected="0">
            <x v="25"/>
          </reference>
          <reference field="26" count="1" selected="0">
            <x v="10"/>
          </reference>
        </references>
      </pivotArea>
    </format>
    <format dxfId="443">
      <pivotArea dataOnly="0" labelOnly="1" fieldPosition="0">
        <references count="7">
          <reference field="0" count="1" selected="0">
            <x v="22"/>
          </reference>
          <reference field="1" count="1" selected="0">
            <x v="4"/>
          </reference>
          <reference field="6" count="1" selected="0">
            <x v="1"/>
          </reference>
          <reference field="8" count="1" selected="0">
            <x v="0"/>
          </reference>
          <reference field="11" count="1">
            <x v="1"/>
          </reference>
          <reference field="12" count="1" selected="0">
            <x v="46"/>
          </reference>
          <reference field="26" count="1" selected="0">
            <x v="1"/>
          </reference>
        </references>
      </pivotArea>
    </format>
    <format dxfId="442">
      <pivotArea dataOnly="0" labelOnly="1" fieldPosition="0">
        <references count="7">
          <reference field="0" count="1" selected="0">
            <x v="23"/>
          </reference>
          <reference field="1" count="1" selected="0">
            <x v="5"/>
          </reference>
          <reference field="6" count="1" selected="0">
            <x v="49"/>
          </reference>
          <reference field="8" count="1" selected="0">
            <x v="0"/>
          </reference>
          <reference field="11" count="1">
            <x v="1"/>
          </reference>
          <reference field="12" count="1" selected="0">
            <x v="3"/>
          </reference>
          <reference field="26" count="1" selected="0">
            <x v="45"/>
          </reference>
        </references>
      </pivotArea>
    </format>
    <format dxfId="441">
      <pivotArea dataOnly="0" labelOnly="1" fieldPosition="0">
        <references count="7">
          <reference field="0" count="1" selected="0">
            <x v="24"/>
          </reference>
          <reference field="1" count="1" selected="0">
            <x v="6"/>
          </reference>
          <reference field="6" count="1" selected="0">
            <x v="11"/>
          </reference>
          <reference field="8" count="1" selected="0">
            <x v="0"/>
          </reference>
          <reference field="11" count="1">
            <x v="1"/>
          </reference>
          <reference field="12" count="1" selected="0">
            <x v="1"/>
          </reference>
          <reference field="26" count="1" selected="0">
            <x v="12"/>
          </reference>
        </references>
      </pivotArea>
    </format>
    <format dxfId="440">
      <pivotArea dataOnly="0" labelOnly="1" fieldPosition="0">
        <references count="7">
          <reference field="0" count="1" selected="0">
            <x v="25"/>
          </reference>
          <reference field="1" count="1" selected="0">
            <x v="35"/>
          </reference>
          <reference field="6" count="1" selected="0">
            <x v="28"/>
          </reference>
          <reference field="8" count="1" selected="0">
            <x v="0"/>
          </reference>
          <reference field="11" count="1">
            <x v="1"/>
          </reference>
          <reference field="12" count="1" selected="0">
            <x v="34"/>
          </reference>
          <reference field="26" count="1" selected="0">
            <x v="24"/>
          </reference>
        </references>
      </pivotArea>
    </format>
    <format dxfId="439">
      <pivotArea dataOnly="0" labelOnly="1" fieldPosition="0">
        <references count="7">
          <reference field="0" count="1" selected="0">
            <x v="28"/>
          </reference>
          <reference field="1" count="1" selected="0">
            <x v="39"/>
          </reference>
          <reference field="6" count="1" selected="0">
            <x v="44"/>
          </reference>
          <reference field="8" count="1" selected="0">
            <x v="0"/>
          </reference>
          <reference field="11" count="1">
            <x v="3"/>
          </reference>
          <reference field="12" count="1" selected="0">
            <x v="32"/>
          </reference>
          <reference field="26" count="1" selected="0">
            <x v="40"/>
          </reference>
        </references>
      </pivotArea>
    </format>
    <format dxfId="438">
      <pivotArea dataOnly="0" labelOnly="1" fieldPosition="0">
        <references count="7">
          <reference field="0" count="1" selected="0">
            <x v="29"/>
          </reference>
          <reference field="1" count="1" selected="0">
            <x v="23"/>
          </reference>
          <reference field="6" count="1" selected="0">
            <x v="29"/>
          </reference>
          <reference field="8" count="1" selected="0">
            <x v="0"/>
          </reference>
          <reference field="11" count="1">
            <x v="2"/>
          </reference>
          <reference field="12" count="1" selected="0">
            <x v="22"/>
          </reference>
          <reference field="26" count="1" selected="0">
            <x v="25"/>
          </reference>
        </references>
      </pivotArea>
    </format>
    <format dxfId="437">
      <pivotArea dataOnly="0" labelOnly="1" fieldPosition="0">
        <references count="7">
          <reference field="0" count="1" selected="0">
            <x v="30"/>
          </reference>
          <reference field="1" count="1" selected="0">
            <x v="22"/>
          </reference>
          <reference field="6" count="1" selected="0">
            <x v="39"/>
          </reference>
          <reference field="8" count="1" selected="0">
            <x v="0"/>
          </reference>
          <reference field="11" count="1">
            <x v="2"/>
          </reference>
          <reference field="12" count="1" selected="0">
            <x v="8"/>
          </reference>
          <reference field="26" count="1" selected="0">
            <x v="35"/>
          </reference>
        </references>
      </pivotArea>
    </format>
    <format dxfId="436">
      <pivotArea dataOnly="0" labelOnly="1" fieldPosition="0">
        <references count="7">
          <reference field="0" count="1" selected="0">
            <x v="31"/>
          </reference>
          <reference field="1" count="1" selected="0">
            <x v="21"/>
          </reference>
          <reference field="6" count="1" selected="0">
            <x v="17"/>
          </reference>
          <reference field="8" count="1" selected="0">
            <x v="0"/>
          </reference>
          <reference field="11" count="1">
            <x v="2"/>
          </reference>
          <reference field="12" count="1" selected="0">
            <x v="6"/>
          </reference>
          <reference field="26" count="1" selected="0">
            <x v="16"/>
          </reference>
        </references>
      </pivotArea>
    </format>
    <format dxfId="435">
      <pivotArea dataOnly="0" labelOnly="1" fieldPosition="0">
        <references count="7">
          <reference field="0" count="1" selected="0">
            <x v="40"/>
          </reference>
          <reference field="1" count="1" selected="0">
            <x v="49"/>
          </reference>
          <reference field="6" count="1" selected="0">
            <x v="21"/>
          </reference>
          <reference field="8" count="1" selected="0">
            <x v="0"/>
          </reference>
          <reference field="11" count="1">
            <x v="5"/>
          </reference>
          <reference field="12" count="1" selected="0">
            <x v="24"/>
          </reference>
          <reference field="26" count="1" selected="0">
            <x v="20"/>
          </reference>
        </references>
      </pivotArea>
    </format>
    <format dxfId="434">
      <pivotArea dataOnly="0" labelOnly="1" fieldPosition="0">
        <references count="7">
          <reference field="0" count="1" selected="0">
            <x v="41"/>
          </reference>
          <reference field="1" count="1" selected="0">
            <x v="46"/>
          </reference>
          <reference field="6" count="1" selected="0">
            <x v="40"/>
          </reference>
          <reference field="8" count="1" selected="0">
            <x v="0"/>
          </reference>
          <reference field="11" count="1">
            <x v="5"/>
          </reference>
          <reference field="12" count="1" selected="0">
            <x v="11"/>
          </reference>
          <reference field="26" count="1" selected="0">
            <x v="36"/>
          </reference>
        </references>
      </pivotArea>
    </format>
    <format dxfId="433">
      <pivotArea dataOnly="0" labelOnly="1" fieldPosition="0">
        <references count="7">
          <reference field="0" count="1" selected="0">
            <x v="42"/>
          </reference>
          <reference field="1" count="1" selected="0">
            <x v="48"/>
          </reference>
          <reference field="6" count="1" selected="0">
            <x v="4"/>
          </reference>
          <reference field="8" count="1" selected="0">
            <x v="0"/>
          </reference>
          <reference field="11" count="1">
            <x v="5"/>
          </reference>
          <reference field="12" count="1" selected="0">
            <x v="2"/>
          </reference>
          <reference field="26" count="1" selected="0">
            <x v="6"/>
          </reference>
        </references>
      </pivotArea>
    </format>
    <format dxfId="432">
      <pivotArea dataOnly="0" labelOnly="1" fieldPosition="0">
        <references count="7">
          <reference field="0" count="1" selected="0">
            <x v="43"/>
          </reference>
          <reference field="1" count="1" selected="0">
            <x v="47"/>
          </reference>
          <reference field="6" count="1" selected="0">
            <x v="10"/>
          </reference>
          <reference field="8" count="1" selected="0">
            <x v="0"/>
          </reference>
          <reference field="11" count="1">
            <x v="5"/>
          </reference>
          <reference field="12" count="1" selected="0">
            <x v="21"/>
          </reference>
          <reference field="26" count="1" selected="0">
            <x v="11"/>
          </reference>
        </references>
      </pivotArea>
    </format>
    <format dxfId="431">
      <pivotArea dataOnly="0" labelOnly="1" fieldPosition="0">
        <references count="7">
          <reference field="0" count="1" selected="0">
            <x v="44"/>
          </reference>
          <reference field="1" count="1" selected="0">
            <x v="38"/>
          </reference>
          <reference field="6" count="1" selected="0">
            <x v="5"/>
          </reference>
          <reference field="8" count="1" selected="0">
            <x v="0"/>
          </reference>
          <reference field="11" count="1">
            <x v="0"/>
          </reference>
          <reference field="12" count="1" selected="0">
            <x v="29"/>
          </reference>
          <reference field="26" count="1" selected="0">
            <x v="6"/>
          </reference>
        </references>
      </pivotArea>
    </format>
    <format dxfId="430">
      <pivotArea dataOnly="0" labelOnly="1" fieldPosition="0">
        <references count="7">
          <reference field="0" count="1" selected="0">
            <x v="46"/>
          </reference>
          <reference field="1" count="1" selected="0">
            <x v="37"/>
          </reference>
          <reference field="6" count="1" selected="0">
            <x v="12"/>
          </reference>
          <reference field="8" count="1" selected="0">
            <x v="0"/>
          </reference>
          <reference field="11" count="1">
            <x v="0"/>
          </reference>
          <reference field="12" count="1" selected="0">
            <x v="33"/>
          </reference>
          <reference field="26" count="1" selected="0">
            <x v="14"/>
          </reference>
        </references>
      </pivotArea>
    </format>
    <format dxfId="429">
      <pivotArea dataOnly="0" labelOnly="1" fieldPosition="0">
        <references count="7">
          <reference field="0" count="1" selected="0">
            <x v="47"/>
          </reference>
          <reference field="1" count="1" selected="0">
            <x v="7"/>
          </reference>
          <reference field="6" count="1" selected="0">
            <x v="46"/>
          </reference>
          <reference field="8" count="1" selected="0">
            <x v="0"/>
          </reference>
          <reference field="11" count="1">
            <x v="6"/>
          </reference>
          <reference field="12" count="1" selected="0">
            <x v="40"/>
          </reference>
          <reference field="26" count="1" selected="0">
            <x v="43"/>
          </reference>
        </references>
      </pivotArea>
    </format>
    <format dxfId="428">
      <pivotArea dataOnly="0" labelOnly="1" fieldPosition="0">
        <references count="8">
          <reference field="0" count="1" selected="0">
            <x v="0"/>
          </reference>
          <reference field="1" count="1" selected="0">
            <x v="32"/>
          </reference>
          <reference field="6" count="1" selected="0">
            <x v="47"/>
          </reference>
          <reference field="8" count="1" selected="0">
            <x v="0"/>
          </reference>
          <reference field="11" count="1" selected="0">
            <x v="1"/>
          </reference>
          <reference field="12" count="1" selected="0">
            <x v="0"/>
          </reference>
          <reference field="17" count="1">
            <x v="13"/>
          </reference>
          <reference field="26" count="1" selected="0">
            <x v="43"/>
          </reference>
        </references>
      </pivotArea>
    </format>
    <format dxfId="427">
      <pivotArea dataOnly="0" labelOnly="1" fieldPosition="0">
        <references count="8">
          <reference field="0" count="1" selected="0">
            <x v="1"/>
          </reference>
          <reference field="1" count="1" selected="0">
            <x v="33"/>
          </reference>
          <reference field="6" count="1" selected="0">
            <x v="41"/>
          </reference>
          <reference field="8" count="1" selected="0">
            <x v="0"/>
          </reference>
          <reference field="11" count="1" selected="0">
            <x v="1"/>
          </reference>
          <reference field="12" count="1" selected="0">
            <x v="18"/>
          </reference>
          <reference field="17" count="1">
            <x v="6"/>
          </reference>
          <reference field="26" count="1" selected="0">
            <x v="38"/>
          </reference>
        </references>
      </pivotArea>
    </format>
    <format dxfId="426">
      <pivotArea dataOnly="0" labelOnly="1" fieldPosition="0">
        <references count="8">
          <reference field="0" count="1" selected="0">
            <x v="3"/>
          </reference>
          <reference field="1" count="1" selected="0">
            <x v="34"/>
          </reference>
          <reference field="6" count="1" selected="0">
            <x v="23"/>
          </reference>
          <reference field="8" count="1" selected="0">
            <x v="0"/>
          </reference>
          <reference field="11" count="1" selected="0">
            <x v="1"/>
          </reference>
          <reference field="12" count="1" selected="0">
            <x v="7"/>
          </reference>
          <reference field="17" count="1">
            <x v="0"/>
          </reference>
          <reference field="26" count="1" selected="0">
            <x v="21"/>
          </reference>
        </references>
      </pivotArea>
    </format>
    <format dxfId="425">
      <pivotArea dataOnly="0" labelOnly="1" fieldPosition="0">
        <references count="8">
          <reference field="0" count="1" selected="0">
            <x v="6"/>
          </reference>
          <reference field="1" count="1" selected="0">
            <x v="31"/>
          </reference>
          <reference field="6" count="1" selected="0">
            <x v="48"/>
          </reference>
          <reference field="8" count="1" selected="0">
            <x v="0"/>
          </reference>
          <reference field="11" count="1" selected="0">
            <x v="1"/>
          </reference>
          <reference field="12" count="1" selected="0">
            <x v="9"/>
          </reference>
          <reference field="17" count="1">
            <x v="12"/>
          </reference>
          <reference field="26" count="1" selected="0">
            <x v="45"/>
          </reference>
        </references>
      </pivotArea>
    </format>
    <format dxfId="424">
      <pivotArea dataOnly="0" labelOnly="1" fieldPosition="0">
        <references count="8">
          <reference field="0" count="1" selected="0">
            <x v="8"/>
          </reference>
          <reference field="1" count="1" selected="0">
            <x v="30"/>
          </reference>
          <reference field="6" count="1" selected="0">
            <x v="18"/>
          </reference>
          <reference field="8" count="1" selected="0">
            <x v="0"/>
          </reference>
          <reference field="11" count="1" selected="0">
            <x v="1"/>
          </reference>
          <reference field="12" count="1" selected="0">
            <x v="41"/>
          </reference>
          <reference field="17" count="1">
            <x v="26"/>
          </reference>
          <reference field="26" count="1" selected="0">
            <x v="17"/>
          </reference>
        </references>
      </pivotArea>
    </format>
    <format dxfId="423">
      <pivotArea dataOnly="0" labelOnly="1" fieldPosition="0">
        <references count="8">
          <reference field="0" count="1" selected="0">
            <x v="11"/>
          </reference>
          <reference field="1" count="1" selected="0">
            <x v="29"/>
          </reference>
          <reference field="6" count="1" selected="0">
            <x v="27"/>
          </reference>
          <reference field="8" count="1" selected="0">
            <x v="0"/>
          </reference>
          <reference field="11" count="1" selected="0">
            <x v="1"/>
          </reference>
          <reference field="12" count="1" selected="0">
            <x v="49"/>
          </reference>
          <reference field="17" count="1">
            <x v="1"/>
          </reference>
          <reference field="26" count="1" selected="0">
            <x v="23"/>
          </reference>
        </references>
      </pivotArea>
    </format>
    <format dxfId="422">
      <pivotArea dataOnly="0" labelOnly="1" fieldPosition="0">
        <references count="8">
          <reference field="0" count="1" selected="0">
            <x v="12"/>
          </reference>
          <reference field="1" count="1" selected="0">
            <x v="36"/>
          </reference>
          <reference field="6" count="1" selected="0">
            <x v="25"/>
          </reference>
          <reference field="8" count="1" selected="0">
            <x v="0"/>
          </reference>
          <reference field="11" count="1" selected="0">
            <x v="1"/>
          </reference>
          <reference field="12" count="1" selected="0">
            <x v="37"/>
          </reference>
          <reference field="17" count="1">
            <x v="24"/>
          </reference>
          <reference field="26" count="1" selected="0">
            <x v="23"/>
          </reference>
        </references>
      </pivotArea>
    </format>
    <format dxfId="421">
      <pivotArea dataOnly="0" labelOnly="1" fieldPosition="0">
        <references count="8">
          <reference field="0" count="1" selected="0">
            <x v="14"/>
          </reference>
          <reference field="1" count="1" selected="0">
            <x v="40"/>
          </reference>
          <reference field="6" count="1" selected="0">
            <x v="9"/>
          </reference>
          <reference field="8" count="1" selected="0">
            <x v="0"/>
          </reference>
          <reference field="11" count="1" selected="0">
            <x v="3"/>
          </reference>
          <reference field="12" count="1" selected="0">
            <x v="36"/>
          </reference>
          <reference field="17" count="1">
            <x v="10"/>
          </reference>
          <reference field="26" count="1" selected="0">
            <x v="11"/>
          </reference>
        </references>
      </pivotArea>
    </format>
    <format dxfId="420">
      <pivotArea dataOnly="0" labelOnly="1" fieldPosition="0">
        <references count="8">
          <reference field="0" count="1" selected="0">
            <x v="18"/>
          </reference>
          <reference field="1" count="1" selected="0">
            <x v="2"/>
          </reference>
          <reference field="6" count="1" selected="0">
            <x v="26"/>
          </reference>
          <reference field="8" count="1" selected="0">
            <x v="0"/>
          </reference>
          <reference field="11" count="1" selected="0">
            <x v="1"/>
          </reference>
          <reference field="12" count="1" selected="0">
            <x v="31"/>
          </reference>
          <reference field="17" count="1">
            <x v="27"/>
          </reference>
          <reference field="26" count="1" selected="0">
            <x v="23"/>
          </reference>
        </references>
      </pivotArea>
    </format>
    <format dxfId="419">
      <pivotArea dataOnly="0" labelOnly="1" fieldPosition="0">
        <references count="8">
          <reference field="0" count="1" selected="0">
            <x v="21"/>
          </reference>
          <reference field="1" count="1" selected="0">
            <x v="1"/>
          </reference>
          <reference field="6" count="1" selected="0">
            <x v="7"/>
          </reference>
          <reference field="8" count="1" selected="0">
            <x v="0"/>
          </reference>
          <reference field="11" count="1" selected="0">
            <x v="1"/>
          </reference>
          <reference field="12" count="1" selected="0">
            <x v="25"/>
          </reference>
          <reference field="17" count="1">
            <x v="15"/>
          </reference>
          <reference field="26" count="1" selected="0">
            <x v="10"/>
          </reference>
        </references>
      </pivotArea>
    </format>
    <format dxfId="418">
      <pivotArea dataOnly="0" labelOnly="1" fieldPosition="0">
        <references count="8">
          <reference field="0" count="1" selected="0">
            <x v="22"/>
          </reference>
          <reference field="1" count="1" selected="0">
            <x v="4"/>
          </reference>
          <reference field="6" count="1" selected="0">
            <x v="1"/>
          </reference>
          <reference field="8" count="1" selected="0">
            <x v="0"/>
          </reference>
          <reference field="11" count="1" selected="0">
            <x v="1"/>
          </reference>
          <reference field="12" count="1" selected="0">
            <x v="46"/>
          </reference>
          <reference field="17" count="1">
            <x v="4"/>
          </reference>
          <reference field="26" count="1" selected="0">
            <x v="1"/>
          </reference>
        </references>
      </pivotArea>
    </format>
    <format dxfId="417">
      <pivotArea dataOnly="0" labelOnly="1" fieldPosition="0">
        <references count="8">
          <reference field="0" count="1" selected="0">
            <x v="23"/>
          </reference>
          <reference field="1" count="1" selected="0">
            <x v="5"/>
          </reference>
          <reference field="6" count="1" selected="0">
            <x v="49"/>
          </reference>
          <reference field="8" count="1" selected="0">
            <x v="0"/>
          </reference>
          <reference field="11" count="1" selected="0">
            <x v="1"/>
          </reference>
          <reference field="12" count="1" selected="0">
            <x v="3"/>
          </reference>
          <reference field="17" count="1">
            <x v="7"/>
          </reference>
          <reference field="26" count="1" selected="0">
            <x v="45"/>
          </reference>
        </references>
      </pivotArea>
    </format>
    <format dxfId="416">
      <pivotArea dataOnly="0" labelOnly="1" fieldPosition="0">
        <references count="8">
          <reference field="0" count="1" selected="0">
            <x v="24"/>
          </reference>
          <reference field="1" count="1" selected="0">
            <x v="6"/>
          </reference>
          <reference field="6" count="1" selected="0">
            <x v="11"/>
          </reference>
          <reference field="8" count="1" selected="0">
            <x v="0"/>
          </reference>
          <reference field="11" count="1" selected="0">
            <x v="1"/>
          </reference>
          <reference field="12" count="1" selected="0">
            <x v="1"/>
          </reference>
          <reference field="17" count="1">
            <x v="12"/>
          </reference>
          <reference field="26" count="1" selected="0">
            <x v="12"/>
          </reference>
        </references>
      </pivotArea>
    </format>
    <format dxfId="415">
      <pivotArea dataOnly="0" labelOnly="1" fieldPosition="0">
        <references count="8">
          <reference field="0" count="1" selected="0">
            <x v="25"/>
          </reference>
          <reference field="1" count="1" selected="0">
            <x v="35"/>
          </reference>
          <reference field="6" count="1" selected="0">
            <x v="28"/>
          </reference>
          <reference field="8" count="1" selected="0">
            <x v="0"/>
          </reference>
          <reference field="11" count="1" selected="0">
            <x v="1"/>
          </reference>
          <reference field="12" count="1" selected="0">
            <x v="34"/>
          </reference>
          <reference field="17" count="1">
            <x v="13"/>
          </reference>
          <reference field="26" count="1" selected="0">
            <x v="24"/>
          </reference>
        </references>
      </pivotArea>
    </format>
    <format dxfId="414">
      <pivotArea dataOnly="0" labelOnly="1" fieldPosition="0">
        <references count="8">
          <reference field="0" count="1" selected="0">
            <x v="28"/>
          </reference>
          <reference field="1" count="1" selected="0">
            <x v="39"/>
          </reference>
          <reference field="6" count="1" selected="0">
            <x v="44"/>
          </reference>
          <reference field="8" count="1" selected="0">
            <x v="0"/>
          </reference>
          <reference field="11" count="1" selected="0">
            <x v="3"/>
          </reference>
          <reference field="12" count="1" selected="0">
            <x v="32"/>
          </reference>
          <reference field="17" count="1">
            <x v="12"/>
          </reference>
          <reference field="26" count="1" selected="0">
            <x v="40"/>
          </reference>
        </references>
      </pivotArea>
    </format>
    <format dxfId="413">
      <pivotArea dataOnly="0" labelOnly="1" fieldPosition="0">
        <references count="8">
          <reference field="0" count="1" selected="0">
            <x v="29"/>
          </reference>
          <reference field="1" count="1" selected="0">
            <x v="23"/>
          </reference>
          <reference field="6" count="1" selected="0">
            <x v="29"/>
          </reference>
          <reference field="8" count="1" selected="0">
            <x v="0"/>
          </reference>
          <reference field="11" count="1" selected="0">
            <x v="2"/>
          </reference>
          <reference field="12" count="1" selected="0">
            <x v="22"/>
          </reference>
          <reference field="17" count="1">
            <x v="19"/>
          </reference>
          <reference field="26" count="1" selected="0">
            <x v="25"/>
          </reference>
        </references>
      </pivotArea>
    </format>
    <format dxfId="412">
      <pivotArea dataOnly="0" labelOnly="1" fieldPosition="0">
        <references count="8">
          <reference field="0" count="1" selected="0">
            <x v="30"/>
          </reference>
          <reference field="1" count="1" selected="0">
            <x v="22"/>
          </reference>
          <reference field="6" count="1" selected="0">
            <x v="39"/>
          </reference>
          <reference field="8" count="1" selected="0">
            <x v="0"/>
          </reference>
          <reference field="11" count="1" selected="0">
            <x v="2"/>
          </reference>
          <reference field="12" count="1" selected="0">
            <x v="8"/>
          </reference>
          <reference field="17" count="1">
            <x v="30"/>
          </reference>
          <reference field="26" count="1" selected="0">
            <x v="35"/>
          </reference>
        </references>
      </pivotArea>
    </format>
    <format dxfId="411">
      <pivotArea dataOnly="0" labelOnly="1" fieldPosition="0">
        <references count="8">
          <reference field="0" count="1" selected="0">
            <x v="31"/>
          </reference>
          <reference field="1" count="1" selected="0">
            <x v="21"/>
          </reference>
          <reference field="6" count="1" selected="0">
            <x v="17"/>
          </reference>
          <reference field="8" count="1" selected="0">
            <x v="0"/>
          </reference>
          <reference field="11" count="1" selected="0">
            <x v="2"/>
          </reference>
          <reference field="12" count="1" selected="0">
            <x v="6"/>
          </reference>
          <reference field="17" count="1">
            <x v="4"/>
          </reference>
          <reference field="26" count="1" selected="0">
            <x v="16"/>
          </reference>
        </references>
      </pivotArea>
    </format>
    <format dxfId="410">
      <pivotArea dataOnly="0" labelOnly="1" fieldPosition="0">
        <references count="8">
          <reference field="0" count="1" selected="0">
            <x v="40"/>
          </reference>
          <reference field="1" count="1" selected="0">
            <x v="49"/>
          </reference>
          <reference field="6" count="1" selected="0">
            <x v="21"/>
          </reference>
          <reference field="8" count="1" selected="0">
            <x v="0"/>
          </reference>
          <reference field="11" count="1" selected="0">
            <x v="5"/>
          </reference>
          <reference field="12" count="1" selected="0">
            <x v="24"/>
          </reference>
          <reference field="17" count="1">
            <x v="2"/>
          </reference>
          <reference field="26" count="1" selected="0">
            <x v="20"/>
          </reference>
        </references>
      </pivotArea>
    </format>
    <format dxfId="409">
      <pivotArea dataOnly="0" labelOnly="1" fieldPosition="0">
        <references count="8">
          <reference field="0" count="1" selected="0">
            <x v="41"/>
          </reference>
          <reference field="1" count="1" selected="0">
            <x v="46"/>
          </reference>
          <reference field="6" count="1" selected="0">
            <x v="40"/>
          </reference>
          <reference field="8" count="1" selected="0">
            <x v="0"/>
          </reference>
          <reference field="11" count="1" selected="0">
            <x v="5"/>
          </reference>
          <reference field="12" count="1" selected="0">
            <x v="11"/>
          </reference>
          <reference field="17" count="1">
            <x v="20"/>
          </reference>
          <reference field="26" count="1" selected="0">
            <x v="36"/>
          </reference>
        </references>
      </pivotArea>
    </format>
    <format dxfId="408">
      <pivotArea dataOnly="0" labelOnly="1" fieldPosition="0">
        <references count="8">
          <reference field="0" count="1" selected="0">
            <x v="42"/>
          </reference>
          <reference field="1" count="1" selected="0">
            <x v="48"/>
          </reference>
          <reference field="6" count="1" selected="0">
            <x v="4"/>
          </reference>
          <reference field="8" count="1" selected="0">
            <x v="0"/>
          </reference>
          <reference field="11" count="1" selected="0">
            <x v="5"/>
          </reference>
          <reference field="12" count="1" selected="0">
            <x v="2"/>
          </reference>
          <reference field="17" count="1">
            <x v="7"/>
          </reference>
          <reference field="26" count="1" selected="0">
            <x v="6"/>
          </reference>
        </references>
      </pivotArea>
    </format>
    <format dxfId="407">
      <pivotArea dataOnly="0" labelOnly="1" fieldPosition="0">
        <references count="8">
          <reference field="0" count="1" selected="0">
            <x v="43"/>
          </reference>
          <reference field="1" count="1" selected="0">
            <x v="47"/>
          </reference>
          <reference field="6" count="1" selected="0">
            <x v="10"/>
          </reference>
          <reference field="8" count="1" selected="0">
            <x v="0"/>
          </reference>
          <reference field="11" count="1" selected="0">
            <x v="5"/>
          </reference>
          <reference field="12" count="1" selected="0">
            <x v="21"/>
          </reference>
          <reference field="17" count="1">
            <x v="2"/>
          </reference>
          <reference field="26" count="1" selected="0">
            <x v="11"/>
          </reference>
        </references>
      </pivotArea>
    </format>
    <format dxfId="406">
      <pivotArea dataOnly="0" labelOnly="1" fieldPosition="0">
        <references count="8">
          <reference field="0" count="1" selected="0">
            <x v="44"/>
          </reference>
          <reference field="1" count="1" selected="0">
            <x v="38"/>
          </reference>
          <reference field="6" count="1" selected="0">
            <x v="5"/>
          </reference>
          <reference field="8" count="1" selected="0">
            <x v="0"/>
          </reference>
          <reference field="11" count="1" selected="0">
            <x v="0"/>
          </reference>
          <reference field="12" count="1" selected="0">
            <x v="29"/>
          </reference>
          <reference field="17" count="1">
            <x v="23"/>
          </reference>
          <reference field="26" count="1" selected="0">
            <x v="6"/>
          </reference>
        </references>
      </pivotArea>
    </format>
    <format dxfId="405">
      <pivotArea dataOnly="0" labelOnly="1" fieldPosition="0">
        <references count="8">
          <reference field="0" count="1" selected="0">
            <x v="46"/>
          </reference>
          <reference field="1" count="1" selected="0">
            <x v="37"/>
          </reference>
          <reference field="6" count="1" selected="0">
            <x v="12"/>
          </reference>
          <reference field="8" count="1" selected="0">
            <x v="0"/>
          </reference>
          <reference field="11" count="1" selected="0">
            <x v="0"/>
          </reference>
          <reference field="12" count="1" selected="0">
            <x v="33"/>
          </reference>
          <reference field="17" count="1">
            <x v="4"/>
          </reference>
          <reference field="26" count="1" selected="0">
            <x v="14"/>
          </reference>
        </references>
      </pivotArea>
    </format>
    <format dxfId="404">
      <pivotArea dataOnly="0" labelOnly="1" fieldPosition="0">
        <references count="8">
          <reference field="0" count="1" selected="0">
            <x v="47"/>
          </reference>
          <reference field="1" count="1" selected="0">
            <x v="7"/>
          </reference>
          <reference field="6" count="1" selected="0">
            <x v="46"/>
          </reference>
          <reference field="8" count="1" selected="0">
            <x v="0"/>
          </reference>
          <reference field="11" count="1" selected="0">
            <x v="6"/>
          </reference>
          <reference field="12" count="1" selected="0">
            <x v="40"/>
          </reference>
          <reference field="17" count="1">
            <x v="17"/>
          </reference>
          <reference field="26" count="1" selected="0">
            <x v="43"/>
          </reference>
        </references>
      </pivotArea>
    </format>
    <format dxfId="403">
      <pivotArea type="all" dataOnly="0" outline="0" fieldPosition="0"/>
    </format>
    <format dxfId="402">
      <pivotArea field="0" type="button" dataOnly="0" labelOnly="1" outline="0" axis="axisRow" fieldPosition="0"/>
    </format>
    <format dxfId="401">
      <pivotArea dataOnly="0" labelOnly="1" fieldPosition="0">
        <references count="1">
          <reference field="0" count="0"/>
        </references>
      </pivotArea>
    </format>
    <format dxfId="400">
      <pivotArea dataOnly="0" labelOnly="1" grandRow="1" outline="0" fieldPosition="0"/>
    </format>
    <format dxfId="399">
      <pivotArea dataOnly="0" labelOnly="1" fieldPosition="0">
        <references count="2">
          <reference field="0" count="1" selected="0">
            <x v="0"/>
          </reference>
          <reference field="1" count="1">
            <x v="32"/>
          </reference>
        </references>
      </pivotArea>
    </format>
    <format dxfId="398">
      <pivotArea dataOnly="0" labelOnly="1" fieldPosition="0">
        <references count="2">
          <reference field="0" count="1" selected="0">
            <x v="1"/>
          </reference>
          <reference field="1" count="1">
            <x v="33"/>
          </reference>
        </references>
      </pivotArea>
    </format>
    <format dxfId="397">
      <pivotArea dataOnly="0" labelOnly="1" fieldPosition="0">
        <references count="2">
          <reference field="0" count="1" selected="0">
            <x v="2"/>
          </reference>
          <reference field="1" count="1">
            <x v="45"/>
          </reference>
        </references>
      </pivotArea>
    </format>
    <format dxfId="396">
      <pivotArea dataOnly="0" labelOnly="1" fieldPosition="0">
        <references count="2">
          <reference field="0" count="1" selected="0">
            <x v="3"/>
          </reference>
          <reference field="1" count="1">
            <x v="34"/>
          </reference>
        </references>
      </pivotArea>
    </format>
    <format dxfId="395">
      <pivotArea dataOnly="0" labelOnly="1" fieldPosition="0">
        <references count="2">
          <reference field="0" count="1" selected="0">
            <x v="4"/>
          </reference>
          <reference field="1" count="1">
            <x v="3"/>
          </reference>
        </references>
      </pivotArea>
    </format>
    <format dxfId="394">
      <pivotArea dataOnly="0" labelOnly="1" fieldPosition="0">
        <references count="2">
          <reference field="0" count="1" selected="0">
            <x v="5"/>
          </reference>
          <reference field="1" count="1">
            <x v="26"/>
          </reference>
        </references>
      </pivotArea>
    </format>
    <format dxfId="393">
      <pivotArea dataOnly="0" labelOnly="1" fieldPosition="0">
        <references count="2">
          <reference field="0" count="1" selected="0">
            <x v="6"/>
          </reference>
          <reference field="1" count="1">
            <x v="31"/>
          </reference>
        </references>
      </pivotArea>
    </format>
    <format dxfId="392">
      <pivotArea dataOnly="0" labelOnly="1" fieldPosition="0">
        <references count="2">
          <reference field="0" count="1" selected="0">
            <x v="7"/>
          </reference>
          <reference field="1" count="1">
            <x v="27"/>
          </reference>
        </references>
      </pivotArea>
    </format>
    <format dxfId="391">
      <pivotArea dataOnly="0" labelOnly="1" fieldPosition="0">
        <references count="2">
          <reference field="0" count="1" selected="0">
            <x v="8"/>
          </reference>
          <reference field="1" count="1">
            <x v="30"/>
          </reference>
        </references>
      </pivotArea>
    </format>
    <format dxfId="390">
      <pivotArea dataOnly="0" labelOnly="1" fieldPosition="0">
        <references count="2">
          <reference field="0" count="1" selected="0">
            <x v="9"/>
          </reference>
          <reference field="1" count="1">
            <x v="28"/>
          </reference>
        </references>
      </pivotArea>
    </format>
    <format dxfId="389">
      <pivotArea dataOnly="0" labelOnly="1" fieldPosition="0">
        <references count="2">
          <reference field="0" count="1" selected="0">
            <x v="10"/>
          </reference>
          <reference field="1" count="1">
            <x v="41"/>
          </reference>
        </references>
      </pivotArea>
    </format>
    <format dxfId="388">
      <pivotArea dataOnly="0" labelOnly="1" fieldPosition="0">
        <references count="2">
          <reference field="0" count="1" selected="0">
            <x v="11"/>
          </reference>
          <reference field="1" count="1">
            <x v="29"/>
          </reference>
        </references>
      </pivotArea>
    </format>
    <format dxfId="387">
      <pivotArea dataOnly="0" labelOnly="1" fieldPosition="0">
        <references count="2">
          <reference field="0" count="1" selected="0">
            <x v="12"/>
          </reference>
          <reference field="1" count="1">
            <x v="36"/>
          </reference>
        </references>
      </pivotArea>
    </format>
    <format dxfId="386">
      <pivotArea dataOnly="0" labelOnly="1" fieldPosition="0">
        <references count="2">
          <reference field="0" count="1" selected="0">
            <x v="13"/>
          </reference>
          <reference field="1" count="1">
            <x v="11"/>
          </reference>
        </references>
      </pivotArea>
    </format>
    <format dxfId="385">
      <pivotArea dataOnly="0" labelOnly="1" fieldPosition="0">
        <references count="2">
          <reference field="0" count="1" selected="0">
            <x v="14"/>
          </reference>
          <reference field="1" count="1">
            <x v="40"/>
          </reference>
        </references>
      </pivotArea>
    </format>
    <format dxfId="384">
      <pivotArea dataOnly="0" labelOnly="1" fieldPosition="0">
        <references count="2">
          <reference field="0" count="1" selected="0">
            <x v="15"/>
          </reference>
          <reference field="1" count="1">
            <x v="12"/>
          </reference>
        </references>
      </pivotArea>
    </format>
    <format dxfId="383">
      <pivotArea dataOnly="0" labelOnly="1" fieldPosition="0">
        <references count="2">
          <reference field="0" count="1" selected="0">
            <x v="16"/>
          </reference>
          <reference field="1" count="1">
            <x v="13"/>
          </reference>
        </references>
      </pivotArea>
    </format>
    <format dxfId="382">
      <pivotArea dataOnly="0" labelOnly="1" fieldPosition="0">
        <references count="2">
          <reference field="0" count="1" selected="0">
            <x v="17"/>
          </reference>
          <reference field="1" count="1">
            <x v="14"/>
          </reference>
        </references>
      </pivotArea>
    </format>
    <format dxfId="381">
      <pivotArea dataOnly="0" labelOnly="1" fieldPosition="0">
        <references count="2">
          <reference field="0" count="1" selected="0">
            <x v="18"/>
          </reference>
          <reference field="1" count="1">
            <x v="2"/>
          </reference>
        </references>
      </pivotArea>
    </format>
    <format dxfId="380">
      <pivotArea dataOnly="0" labelOnly="1" fieldPosition="0">
        <references count="2">
          <reference field="0" count="1" selected="0">
            <x v="19"/>
          </reference>
          <reference field="1" count="1">
            <x v="24"/>
          </reference>
        </references>
      </pivotArea>
    </format>
    <format dxfId="379">
      <pivotArea dataOnly="0" labelOnly="1" fieldPosition="0">
        <references count="2">
          <reference field="0" count="1" selected="0">
            <x v="20"/>
          </reference>
          <reference field="1" count="1">
            <x v="25"/>
          </reference>
        </references>
      </pivotArea>
    </format>
    <format dxfId="378">
      <pivotArea dataOnly="0" labelOnly="1" fieldPosition="0">
        <references count="2">
          <reference field="0" count="1" selected="0">
            <x v="21"/>
          </reference>
          <reference field="1" count="1">
            <x v="1"/>
          </reference>
        </references>
      </pivotArea>
    </format>
    <format dxfId="377">
      <pivotArea dataOnly="0" labelOnly="1" fieldPosition="0">
        <references count="2">
          <reference field="0" count="1" selected="0">
            <x v="22"/>
          </reference>
          <reference field="1" count="1">
            <x v="4"/>
          </reference>
        </references>
      </pivotArea>
    </format>
    <format dxfId="376">
      <pivotArea dataOnly="0" labelOnly="1" fieldPosition="0">
        <references count="2">
          <reference field="0" count="1" selected="0">
            <x v="23"/>
          </reference>
          <reference field="1" count="1">
            <x v="5"/>
          </reference>
        </references>
      </pivotArea>
    </format>
    <format dxfId="375">
      <pivotArea dataOnly="0" labelOnly="1" fieldPosition="0">
        <references count="2">
          <reference field="0" count="1" selected="0">
            <x v="24"/>
          </reference>
          <reference field="1" count="1">
            <x v="6"/>
          </reference>
        </references>
      </pivotArea>
    </format>
    <format dxfId="374">
      <pivotArea dataOnly="0" labelOnly="1" fieldPosition="0">
        <references count="2">
          <reference field="0" count="1" selected="0">
            <x v="25"/>
          </reference>
          <reference field="1" count="1">
            <x v="35"/>
          </reference>
        </references>
      </pivotArea>
    </format>
    <format dxfId="373">
      <pivotArea dataOnly="0" labelOnly="1" fieldPosition="0">
        <references count="2">
          <reference field="0" count="1" selected="0">
            <x v="26"/>
          </reference>
          <reference field="1" count="1">
            <x v="9"/>
          </reference>
        </references>
      </pivotArea>
    </format>
    <format dxfId="372">
      <pivotArea dataOnly="0" labelOnly="1" fieldPosition="0">
        <references count="2">
          <reference field="0" count="1" selected="0">
            <x v="27"/>
          </reference>
          <reference field="1" count="1">
            <x v="10"/>
          </reference>
        </references>
      </pivotArea>
    </format>
    <format dxfId="371">
      <pivotArea dataOnly="0" labelOnly="1" fieldPosition="0">
        <references count="2">
          <reference field="0" count="1" selected="0">
            <x v="28"/>
          </reference>
          <reference field="1" count="1">
            <x v="39"/>
          </reference>
        </references>
      </pivotArea>
    </format>
    <format dxfId="370">
      <pivotArea dataOnly="0" labelOnly="1" fieldPosition="0">
        <references count="2">
          <reference field="0" count="1" selected="0">
            <x v="29"/>
          </reference>
          <reference field="1" count="1">
            <x v="23"/>
          </reference>
        </references>
      </pivotArea>
    </format>
    <format dxfId="369">
      <pivotArea dataOnly="0" labelOnly="1" fieldPosition="0">
        <references count="2">
          <reference field="0" count="1" selected="0">
            <x v="30"/>
          </reference>
          <reference field="1" count="1">
            <x v="22"/>
          </reference>
        </references>
      </pivotArea>
    </format>
    <format dxfId="368">
      <pivotArea dataOnly="0" labelOnly="1" fieldPosition="0">
        <references count="2">
          <reference field="0" count="1" selected="0">
            <x v="31"/>
          </reference>
          <reference field="1" count="1">
            <x v="21"/>
          </reference>
        </references>
      </pivotArea>
    </format>
    <format dxfId="367">
      <pivotArea dataOnly="0" labelOnly="1" fieldPosition="0">
        <references count="2">
          <reference field="0" count="1" selected="0">
            <x v="32"/>
          </reference>
          <reference field="1" count="1">
            <x v="19"/>
          </reference>
        </references>
      </pivotArea>
    </format>
    <format dxfId="366">
      <pivotArea dataOnly="0" labelOnly="1" fieldPosition="0">
        <references count="2">
          <reference field="0" count="1" selected="0">
            <x v="33"/>
          </reference>
          <reference field="1" count="1">
            <x v="20"/>
          </reference>
        </references>
      </pivotArea>
    </format>
    <format dxfId="365">
      <pivotArea dataOnly="0" labelOnly="1" fieldPosition="0">
        <references count="2">
          <reference field="0" count="1" selected="0">
            <x v="34"/>
          </reference>
          <reference field="1" count="1">
            <x v="16"/>
          </reference>
        </references>
      </pivotArea>
    </format>
    <format dxfId="364">
      <pivotArea dataOnly="0" labelOnly="1" fieldPosition="0">
        <references count="2">
          <reference field="0" count="1" selected="0">
            <x v="35"/>
          </reference>
          <reference field="1" count="1">
            <x v="17"/>
          </reference>
        </references>
      </pivotArea>
    </format>
    <format dxfId="363">
      <pivotArea dataOnly="0" labelOnly="1" fieldPosition="0">
        <references count="2">
          <reference field="0" count="1" selected="0">
            <x v="36"/>
          </reference>
          <reference field="1" count="1">
            <x v="15"/>
          </reference>
        </references>
      </pivotArea>
    </format>
    <format dxfId="362">
      <pivotArea dataOnly="0" labelOnly="1" fieldPosition="0">
        <references count="2">
          <reference field="0" count="1" selected="0">
            <x v="37"/>
          </reference>
          <reference field="1" count="1">
            <x v="18"/>
          </reference>
        </references>
      </pivotArea>
    </format>
    <format dxfId="361">
      <pivotArea dataOnly="0" labelOnly="1" fieldPosition="0">
        <references count="2">
          <reference field="0" count="1" selected="0">
            <x v="38"/>
          </reference>
          <reference field="1" count="1">
            <x v="44"/>
          </reference>
        </references>
      </pivotArea>
    </format>
    <format dxfId="360">
      <pivotArea dataOnly="0" labelOnly="1" fieldPosition="0">
        <references count="2">
          <reference field="0" count="1" selected="0">
            <x v="39"/>
          </reference>
          <reference field="1" count="1">
            <x v="43"/>
          </reference>
        </references>
      </pivotArea>
    </format>
    <format dxfId="359">
      <pivotArea dataOnly="0" labelOnly="1" fieldPosition="0">
        <references count="2">
          <reference field="0" count="1" selected="0">
            <x v="40"/>
          </reference>
          <reference field="1" count="1">
            <x v="49"/>
          </reference>
        </references>
      </pivotArea>
    </format>
    <format dxfId="358">
      <pivotArea dataOnly="0" labelOnly="1" fieldPosition="0">
        <references count="2">
          <reference field="0" count="1" selected="0">
            <x v="41"/>
          </reference>
          <reference field="1" count="1">
            <x v="46"/>
          </reference>
        </references>
      </pivotArea>
    </format>
    <format dxfId="357">
      <pivotArea dataOnly="0" labelOnly="1" fieldPosition="0">
        <references count="2">
          <reference field="0" count="1" selected="0">
            <x v="42"/>
          </reference>
          <reference field="1" count="1">
            <x v="48"/>
          </reference>
        </references>
      </pivotArea>
    </format>
    <format dxfId="356">
      <pivotArea dataOnly="0" labelOnly="1" fieldPosition="0">
        <references count="2">
          <reference field="0" count="1" selected="0">
            <x v="43"/>
          </reference>
          <reference field="1" count="1">
            <x v="47"/>
          </reference>
        </references>
      </pivotArea>
    </format>
    <format dxfId="355">
      <pivotArea dataOnly="0" labelOnly="1" fieldPosition="0">
        <references count="2">
          <reference field="0" count="1" selected="0">
            <x v="44"/>
          </reference>
          <reference field="1" count="1">
            <x v="38"/>
          </reference>
        </references>
      </pivotArea>
    </format>
    <format dxfId="354">
      <pivotArea dataOnly="0" labelOnly="1" fieldPosition="0">
        <references count="2">
          <reference field="0" count="1" selected="0">
            <x v="45"/>
          </reference>
          <reference field="1" count="1">
            <x v="0"/>
          </reference>
        </references>
      </pivotArea>
    </format>
    <format dxfId="353">
      <pivotArea dataOnly="0" labelOnly="1" fieldPosition="0">
        <references count="2">
          <reference field="0" count="1" selected="0">
            <x v="46"/>
          </reference>
          <reference field="1" count="1">
            <x v="37"/>
          </reference>
        </references>
      </pivotArea>
    </format>
    <format dxfId="352">
      <pivotArea dataOnly="0" labelOnly="1" fieldPosition="0">
        <references count="2">
          <reference field="0" count="1" selected="0">
            <x v="47"/>
          </reference>
          <reference field="1" count="1">
            <x v="7"/>
          </reference>
        </references>
      </pivotArea>
    </format>
    <format dxfId="351">
      <pivotArea dataOnly="0" labelOnly="1" fieldPosition="0">
        <references count="2">
          <reference field="0" count="1" selected="0">
            <x v="48"/>
          </reference>
          <reference field="1" count="1">
            <x v="8"/>
          </reference>
        </references>
      </pivotArea>
    </format>
    <format dxfId="350">
      <pivotArea dataOnly="0" labelOnly="1" fieldPosition="0">
        <references count="2">
          <reference field="0" count="1" selected="0">
            <x v="49"/>
          </reference>
          <reference field="1" count="1">
            <x v="42"/>
          </reference>
        </references>
      </pivotArea>
    </format>
    <format dxfId="349">
      <pivotArea dataOnly="0" labelOnly="1" fieldPosition="0">
        <references count="3">
          <reference field="0" count="1" selected="0">
            <x v="0"/>
          </reference>
          <reference field="1" count="1" selected="0">
            <x v="32"/>
          </reference>
          <reference field="12" count="1">
            <x v="0"/>
          </reference>
        </references>
      </pivotArea>
    </format>
    <format dxfId="348">
      <pivotArea dataOnly="0" labelOnly="1" fieldPosition="0">
        <references count="3">
          <reference field="0" count="1" selected="0">
            <x v="1"/>
          </reference>
          <reference field="1" count="1" selected="0">
            <x v="33"/>
          </reference>
          <reference field="12" count="1">
            <x v="18"/>
          </reference>
        </references>
      </pivotArea>
    </format>
    <format dxfId="347">
      <pivotArea dataOnly="0" labelOnly="1" fieldPosition="0">
        <references count="3">
          <reference field="0" count="1" selected="0">
            <x v="2"/>
          </reference>
          <reference field="1" count="1" selected="0">
            <x v="45"/>
          </reference>
          <reference field="12" count="1">
            <x v="10"/>
          </reference>
        </references>
      </pivotArea>
    </format>
    <format dxfId="346">
      <pivotArea dataOnly="0" labelOnly="1" fieldPosition="0">
        <references count="3">
          <reference field="0" count="1" selected="0">
            <x v="3"/>
          </reference>
          <reference field="1" count="1" selected="0">
            <x v="34"/>
          </reference>
          <reference field="12" count="1">
            <x v="7"/>
          </reference>
        </references>
      </pivotArea>
    </format>
    <format dxfId="345">
      <pivotArea dataOnly="0" labelOnly="1" fieldPosition="0">
        <references count="3">
          <reference field="0" count="1" selected="0">
            <x v="4"/>
          </reference>
          <reference field="1" count="1" selected="0">
            <x v="3"/>
          </reference>
          <reference field="12" count="1">
            <x v="5"/>
          </reference>
        </references>
      </pivotArea>
    </format>
    <format dxfId="344">
      <pivotArea dataOnly="0" labelOnly="1" fieldPosition="0">
        <references count="3">
          <reference field="0" count="1" selected="0">
            <x v="5"/>
          </reference>
          <reference field="1" count="1" selected="0">
            <x v="26"/>
          </reference>
          <reference field="12" count="1">
            <x v="19"/>
          </reference>
        </references>
      </pivotArea>
    </format>
    <format dxfId="343">
      <pivotArea dataOnly="0" labelOnly="1" fieldPosition="0">
        <references count="3">
          <reference field="0" count="1" selected="0">
            <x v="6"/>
          </reference>
          <reference field="1" count="1" selected="0">
            <x v="31"/>
          </reference>
          <reference field="12" count="1">
            <x v="9"/>
          </reference>
        </references>
      </pivotArea>
    </format>
    <format dxfId="342">
      <pivotArea dataOnly="0" labelOnly="1" fieldPosition="0">
        <references count="3">
          <reference field="0" count="1" selected="0">
            <x v="7"/>
          </reference>
          <reference field="1" count="1" selected="0">
            <x v="27"/>
          </reference>
          <reference field="12" count="1">
            <x v="30"/>
          </reference>
        </references>
      </pivotArea>
    </format>
    <format dxfId="341">
      <pivotArea dataOnly="0" labelOnly="1" fieldPosition="0">
        <references count="3">
          <reference field="0" count="1" selected="0">
            <x v="8"/>
          </reference>
          <reference field="1" count="1" selected="0">
            <x v="30"/>
          </reference>
          <reference field="12" count="1">
            <x v="41"/>
          </reference>
        </references>
      </pivotArea>
    </format>
    <format dxfId="340">
      <pivotArea dataOnly="0" labelOnly="1" fieldPosition="0">
        <references count="3">
          <reference field="0" count="1" selected="0">
            <x v="9"/>
          </reference>
          <reference field="1" count="1" selected="0">
            <x v="28"/>
          </reference>
          <reference field="12" count="1">
            <x v="38"/>
          </reference>
        </references>
      </pivotArea>
    </format>
    <format dxfId="339">
      <pivotArea dataOnly="0" labelOnly="1" fieldPosition="0">
        <references count="3">
          <reference field="0" count="1" selected="0">
            <x v="10"/>
          </reference>
          <reference field="1" count="1" selected="0">
            <x v="41"/>
          </reference>
          <reference field="12" count="1">
            <x v="23"/>
          </reference>
        </references>
      </pivotArea>
    </format>
    <format dxfId="338">
      <pivotArea dataOnly="0" labelOnly="1" fieldPosition="0">
        <references count="3">
          <reference field="0" count="1" selected="0">
            <x v="11"/>
          </reference>
          <reference field="1" count="1" selected="0">
            <x v="29"/>
          </reference>
          <reference field="12" count="1">
            <x v="49"/>
          </reference>
        </references>
      </pivotArea>
    </format>
    <format dxfId="337">
      <pivotArea dataOnly="0" labelOnly="1" fieldPosition="0">
        <references count="3">
          <reference field="0" count="1" selected="0">
            <x v="12"/>
          </reference>
          <reference field="1" count="1" selected="0">
            <x v="36"/>
          </reference>
          <reference field="12" count="1">
            <x v="37"/>
          </reference>
        </references>
      </pivotArea>
    </format>
    <format dxfId="336">
      <pivotArea dataOnly="0" labelOnly="1" fieldPosition="0">
        <references count="3">
          <reference field="0" count="1" selected="0">
            <x v="13"/>
          </reference>
          <reference field="1" count="1" selected="0">
            <x v="11"/>
          </reference>
          <reference field="12" count="1">
            <x v="47"/>
          </reference>
        </references>
      </pivotArea>
    </format>
    <format dxfId="335">
      <pivotArea dataOnly="0" labelOnly="1" fieldPosition="0">
        <references count="3">
          <reference field="0" count="1" selected="0">
            <x v="14"/>
          </reference>
          <reference field="1" count="1" selected="0">
            <x v="40"/>
          </reference>
          <reference field="12" count="1">
            <x v="36"/>
          </reference>
        </references>
      </pivotArea>
    </format>
    <format dxfId="334">
      <pivotArea dataOnly="0" labelOnly="1" fieldPosition="0">
        <references count="3">
          <reference field="0" count="1" selected="0">
            <x v="15"/>
          </reference>
          <reference field="1" count="1" selected="0">
            <x v="12"/>
          </reference>
          <reference field="12" count="1">
            <x v="4"/>
          </reference>
        </references>
      </pivotArea>
    </format>
    <format dxfId="333">
      <pivotArea dataOnly="0" labelOnly="1" fieldPosition="0">
        <references count="3">
          <reference field="0" count="1" selected="0">
            <x v="16"/>
          </reference>
          <reference field="1" count="1" selected="0">
            <x v="13"/>
          </reference>
          <reference field="12" count="1">
            <x v="42"/>
          </reference>
        </references>
      </pivotArea>
    </format>
    <format dxfId="332">
      <pivotArea dataOnly="0" labelOnly="1" fieldPosition="0">
        <references count="3">
          <reference field="0" count="1" selected="0">
            <x v="17"/>
          </reference>
          <reference field="1" count="1" selected="0">
            <x v="14"/>
          </reference>
          <reference field="12" count="1">
            <x v="44"/>
          </reference>
        </references>
      </pivotArea>
    </format>
    <format dxfId="331">
      <pivotArea dataOnly="0" labelOnly="1" fieldPosition="0">
        <references count="3">
          <reference field="0" count="1" selected="0">
            <x v="18"/>
          </reference>
          <reference field="1" count="1" selected="0">
            <x v="2"/>
          </reference>
          <reference field="12" count="1">
            <x v="31"/>
          </reference>
        </references>
      </pivotArea>
    </format>
    <format dxfId="330">
      <pivotArea dataOnly="0" labelOnly="1" fieldPosition="0">
        <references count="3">
          <reference field="0" count="1" selected="0">
            <x v="19"/>
          </reference>
          <reference field="1" count="1" selected="0">
            <x v="24"/>
          </reference>
          <reference field="12" count="1">
            <x v="12"/>
          </reference>
        </references>
      </pivotArea>
    </format>
    <format dxfId="329">
      <pivotArea dataOnly="0" labelOnly="1" fieldPosition="0">
        <references count="3">
          <reference field="0" count="1" selected="0">
            <x v="20"/>
          </reference>
          <reference field="1" count="1" selected="0">
            <x v="25"/>
          </reference>
          <reference field="12" count="1">
            <x v="35"/>
          </reference>
        </references>
      </pivotArea>
    </format>
    <format dxfId="328">
      <pivotArea dataOnly="0" labelOnly="1" fieldPosition="0">
        <references count="3">
          <reference field="0" count="1" selected="0">
            <x v="21"/>
          </reference>
          <reference field="1" count="1" selected="0">
            <x v="1"/>
          </reference>
          <reference field="12" count="1">
            <x v="25"/>
          </reference>
        </references>
      </pivotArea>
    </format>
    <format dxfId="327">
      <pivotArea dataOnly="0" labelOnly="1" fieldPosition="0">
        <references count="3">
          <reference field="0" count="1" selected="0">
            <x v="22"/>
          </reference>
          <reference field="1" count="1" selected="0">
            <x v="4"/>
          </reference>
          <reference field="12" count="1">
            <x v="46"/>
          </reference>
        </references>
      </pivotArea>
    </format>
    <format dxfId="326">
      <pivotArea dataOnly="0" labelOnly="1" fieldPosition="0">
        <references count="3">
          <reference field="0" count="1" selected="0">
            <x v="23"/>
          </reference>
          <reference field="1" count="1" selected="0">
            <x v="5"/>
          </reference>
          <reference field="12" count="1">
            <x v="3"/>
          </reference>
        </references>
      </pivotArea>
    </format>
    <format dxfId="325">
      <pivotArea dataOnly="0" labelOnly="1" fieldPosition="0">
        <references count="3">
          <reference field="0" count="1" selected="0">
            <x v="24"/>
          </reference>
          <reference field="1" count="1" selected="0">
            <x v="6"/>
          </reference>
          <reference field="12" count="1">
            <x v="1"/>
          </reference>
        </references>
      </pivotArea>
    </format>
    <format dxfId="324">
      <pivotArea dataOnly="0" labelOnly="1" fieldPosition="0">
        <references count="3">
          <reference field="0" count="1" selected="0">
            <x v="25"/>
          </reference>
          <reference field="1" count="1" selected="0">
            <x v="35"/>
          </reference>
          <reference field="12" count="1">
            <x v="34"/>
          </reference>
        </references>
      </pivotArea>
    </format>
    <format dxfId="323">
      <pivotArea dataOnly="0" labelOnly="1" fieldPosition="0">
        <references count="3">
          <reference field="0" count="1" selected="0">
            <x v="26"/>
          </reference>
          <reference field="1" count="1" selected="0">
            <x v="9"/>
          </reference>
          <reference field="12" count="1">
            <x v="48"/>
          </reference>
        </references>
      </pivotArea>
    </format>
    <format dxfId="322">
      <pivotArea dataOnly="0" labelOnly="1" fieldPosition="0">
        <references count="3">
          <reference field="0" count="1" selected="0">
            <x v="27"/>
          </reference>
          <reference field="1" count="1" selected="0">
            <x v="10"/>
          </reference>
          <reference field="12" count="1">
            <x v="14"/>
          </reference>
        </references>
      </pivotArea>
    </format>
    <format dxfId="321">
      <pivotArea dataOnly="0" labelOnly="1" fieldPosition="0">
        <references count="3">
          <reference field="0" count="1" selected="0">
            <x v="28"/>
          </reference>
          <reference field="1" count="1" selected="0">
            <x v="39"/>
          </reference>
          <reference field="12" count="1">
            <x v="32"/>
          </reference>
        </references>
      </pivotArea>
    </format>
    <format dxfId="320">
      <pivotArea dataOnly="0" labelOnly="1" fieldPosition="0">
        <references count="3">
          <reference field="0" count="1" selected="0">
            <x v="29"/>
          </reference>
          <reference field="1" count="1" selected="0">
            <x v="23"/>
          </reference>
          <reference field="12" count="1">
            <x v="22"/>
          </reference>
        </references>
      </pivotArea>
    </format>
    <format dxfId="319">
      <pivotArea dataOnly="0" labelOnly="1" fieldPosition="0">
        <references count="3">
          <reference field="0" count="1" selected="0">
            <x v="30"/>
          </reference>
          <reference field="1" count="1" selected="0">
            <x v="22"/>
          </reference>
          <reference field="12" count="1">
            <x v="8"/>
          </reference>
        </references>
      </pivotArea>
    </format>
    <format dxfId="318">
      <pivotArea dataOnly="0" labelOnly="1" fieldPosition="0">
        <references count="3">
          <reference field="0" count="1" selected="0">
            <x v="31"/>
          </reference>
          <reference field="1" count="1" selected="0">
            <x v="21"/>
          </reference>
          <reference field="12" count="1">
            <x v="6"/>
          </reference>
        </references>
      </pivotArea>
    </format>
    <format dxfId="317">
      <pivotArea dataOnly="0" labelOnly="1" fieldPosition="0">
        <references count="3">
          <reference field="0" count="1" selected="0">
            <x v="32"/>
          </reference>
          <reference field="1" count="1" selected="0">
            <x v="19"/>
          </reference>
          <reference field="12" count="1">
            <x v="45"/>
          </reference>
        </references>
      </pivotArea>
    </format>
    <format dxfId="316">
      <pivotArea dataOnly="0" labelOnly="1" fieldPosition="0">
        <references count="3">
          <reference field="0" count="1" selected="0">
            <x v="33"/>
          </reference>
          <reference field="1" count="1" selected="0">
            <x v="20"/>
          </reference>
          <reference field="12" count="1">
            <x v="17"/>
          </reference>
        </references>
      </pivotArea>
    </format>
    <format dxfId="315">
      <pivotArea dataOnly="0" labelOnly="1" fieldPosition="0">
        <references count="3">
          <reference field="0" count="1" selected="0">
            <x v="34"/>
          </reference>
          <reference field="1" count="1" selected="0">
            <x v="16"/>
          </reference>
          <reference field="12" count="1">
            <x v="16"/>
          </reference>
        </references>
      </pivotArea>
    </format>
    <format dxfId="314">
      <pivotArea dataOnly="0" labelOnly="1" fieldPosition="0">
        <references count="3">
          <reference field="0" count="1" selected="0">
            <x v="35"/>
          </reference>
          <reference field="1" count="1" selected="0">
            <x v="17"/>
          </reference>
          <reference field="12" count="1">
            <x v="15"/>
          </reference>
        </references>
      </pivotArea>
    </format>
    <format dxfId="313">
      <pivotArea dataOnly="0" labelOnly="1" fieldPosition="0">
        <references count="3">
          <reference field="0" count="1" selected="0">
            <x v="36"/>
          </reference>
          <reference field="1" count="1" selected="0">
            <x v="15"/>
          </reference>
          <reference field="12" count="1">
            <x v="20"/>
          </reference>
        </references>
      </pivotArea>
    </format>
    <format dxfId="312">
      <pivotArea dataOnly="0" labelOnly="1" fieldPosition="0">
        <references count="3">
          <reference field="0" count="1" selected="0">
            <x v="37"/>
          </reference>
          <reference field="1" count="1" selected="0">
            <x v="18"/>
          </reference>
          <reference field="12" count="1">
            <x v="13"/>
          </reference>
        </references>
      </pivotArea>
    </format>
    <format dxfId="311">
      <pivotArea dataOnly="0" labelOnly="1" fieldPosition="0">
        <references count="3">
          <reference field="0" count="1" selected="0">
            <x v="38"/>
          </reference>
          <reference field="1" count="1" selected="0">
            <x v="44"/>
          </reference>
          <reference field="12" count="1">
            <x v="43"/>
          </reference>
        </references>
      </pivotArea>
    </format>
    <format dxfId="310">
      <pivotArea dataOnly="0" labelOnly="1" fieldPosition="0">
        <references count="3">
          <reference field="0" count="1" selected="0">
            <x v="39"/>
          </reference>
          <reference field="1" count="1" selected="0">
            <x v="43"/>
          </reference>
          <reference field="12" count="1">
            <x v="28"/>
          </reference>
        </references>
      </pivotArea>
    </format>
    <format dxfId="309">
      <pivotArea dataOnly="0" labelOnly="1" fieldPosition="0">
        <references count="3">
          <reference field="0" count="1" selected="0">
            <x v="40"/>
          </reference>
          <reference field="1" count="1" selected="0">
            <x v="49"/>
          </reference>
          <reference field="12" count="1">
            <x v="24"/>
          </reference>
        </references>
      </pivotArea>
    </format>
    <format dxfId="308">
      <pivotArea dataOnly="0" labelOnly="1" fieldPosition="0">
        <references count="3">
          <reference field="0" count="1" selected="0">
            <x v="41"/>
          </reference>
          <reference field="1" count="1" selected="0">
            <x v="46"/>
          </reference>
          <reference field="12" count="1">
            <x v="11"/>
          </reference>
        </references>
      </pivotArea>
    </format>
    <format dxfId="307">
      <pivotArea dataOnly="0" labelOnly="1" fieldPosition="0">
        <references count="3">
          <reference field="0" count="1" selected="0">
            <x v="42"/>
          </reference>
          <reference field="1" count="1" selected="0">
            <x v="48"/>
          </reference>
          <reference field="12" count="1">
            <x v="2"/>
          </reference>
        </references>
      </pivotArea>
    </format>
    <format dxfId="306">
      <pivotArea dataOnly="0" labelOnly="1" fieldPosition="0">
        <references count="3">
          <reference field="0" count="1" selected="0">
            <x v="43"/>
          </reference>
          <reference field="1" count="1" selected="0">
            <x v="47"/>
          </reference>
          <reference field="12" count="1">
            <x v="21"/>
          </reference>
        </references>
      </pivotArea>
    </format>
    <format dxfId="305">
      <pivotArea dataOnly="0" labelOnly="1" fieldPosition="0">
        <references count="3">
          <reference field="0" count="1" selected="0">
            <x v="44"/>
          </reference>
          <reference field="1" count="1" selected="0">
            <x v="38"/>
          </reference>
          <reference field="12" count="1">
            <x v="29"/>
          </reference>
        </references>
      </pivotArea>
    </format>
    <format dxfId="304">
      <pivotArea dataOnly="0" labelOnly="1" fieldPosition="0">
        <references count="3">
          <reference field="0" count="1" selected="0">
            <x v="45"/>
          </reference>
          <reference field="1" count="1" selected="0">
            <x v="0"/>
          </reference>
          <reference field="12" count="1">
            <x v="27"/>
          </reference>
        </references>
      </pivotArea>
    </format>
    <format dxfId="303">
      <pivotArea dataOnly="0" labelOnly="1" fieldPosition="0">
        <references count="3">
          <reference field="0" count="1" selected="0">
            <x v="46"/>
          </reference>
          <reference field="1" count="1" selected="0">
            <x v="37"/>
          </reference>
          <reference field="12" count="1">
            <x v="33"/>
          </reference>
        </references>
      </pivotArea>
    </format>
    <format dxfId="302">
      <pivotArea dataOnly="0" labelOnly="1" fieldPosition="0">
        <references count="3">
          <reference field="0" count="1" selected="0">
            <x v="47"/>
          </reference>
          <reference field="1" count="1" selected="0">
            <x v="7"/>
          </reference>
          <reference field="12" count="1">
            <x v="40"/>
          </reference>
        </references>
      </pivotArea>
    </format>
    <format dxfId="301">
      <pivotArea dataOnly="0" labelOnly="1" fieldPosition="0">
        <references count="3">
          <reference field="0" count="1" selected="0">
            <x v="48"/>
          </reference>
          <reference field="1" count="1" selected="0">
            <x v="8"/>
          </reference>
          <reference field="12" count="1">
            <x v="26"/>
          </reference>
        </references>
      </pivotArea>
    </format>
    <format dxfId="300">
      <pivotArea dataOnly="0" labelOnly="1" fieldPosition="0">
        <references count="3">
          <reference field="0" count="1" selected="0">
            <x v="49"/>
          </reference>
          <reference field="1" count="1" selected="0">
            <x v="42"/>
          </reference>
          <reference field="12" count="1">
            <x v="39"/>
          </reference>
        </references>
      </pivotArea>
    </format>
    <format dxfId="299">
      <pivotArea dataOnly="0" labelOnly="1" fieldPosition="0">
        <references count="4">
          <reference field="0" count="1" selected="0">
            <x v="0"/>
          </reference>
          <reference field="1" count="1" selected="0">
            <x v="32"/>
          </reference>
          <reference field="12" count="1" selected="0">
            <x v="0"/>
          </reference>
          <reference field="26" count="1">
            <x v="43"/>
          </reference>
        </references>
      </pivotArea>
    </format>
    <format dxfId="298">
      <pivotArea dataOnly="0" labelOnly="1" fieldPosition="0">
        <references count="4">
          <reference field="0" count="1" selected="0">
            <x v="1"/>
          </reference>
          <reference field="1" count="1" selected="0">
            <x v="33"/>
          </reference>
          <reference field="12" count="1" selected="0">
            <x v="18"/>
          </reference>
          <reference field="26" count="1">
            <x v="38"/>
          </reference>
        </references>
      </pivotArea>
    </format>
    <format dxfId="297">
      <pivotArea dataOnly="0" labelOnly="1" fieldPosition="0">
        <references count="4">
          <reference field="0" count="1" selected="0">
            <x v="2"/>
          </reference>
          <reference field="1" count="1" selected="0">
            <x v="45"/>
          </reference>
          <reference field="12" count="1" selected="0">
            <x v="10"/>
          </reference>
          <reference field="26" count="1">
            <x v="15"/>
          </reference>
        </references>
      </pivotArea>
    </format>
    <format dxfId="296">
      <pivotArea dataOnly="0" labelOnly="1" fieldPosition="0">
        <references count="4">
          <reference field="0" count="1" selected="0">
            <x v="3"/>
          </reference>
          <reference field="1" count="1" selected="0">
            <x v="34"/>
          </reference>
          <reference field="12" count="1" selected="0">
            <x v="7"/>
          </reference>
          <reference field="26" count="1">
            <x v="21"/>
          </reference>
        </references>
      </pivotArea>
    </format>
    <format dxfId="295">
      <pivotArea dataOnly="0" labelOnly="1" fieldPosition="0">
        <references count="4">
          <reference field="0" count="1" selected="0">
            <x v="4"/>
          </reference>
          <reference field="1" count="1" selected="0">
            <x v="3"/>
          </reference>
          <reference field="12" count="1" selected="0">
            <x v="5"/>
          </reference>
          <reference field="26" count="1">
            <x v="16"/>
          </reference>
        </references>
      </pivotArea>
    </format>
    <format dxfId="294">
      <pivotArea dataOnly="0" labelOnly="1" fieldPosition="0">
        <references count="4">
          <reference field="0" count="1" selected="0">
            <x v="5"/>
          </reference>
          <reference field="1" count="1" selected="0">
            <x v="26"/>
          </reference>
          <reference field="12" count="1" selected="0">
            <x v="19"/>
          </reference>
          <reference field="26" count="1">
            <x v="38"/>
          </reference>
        </references>
      </pivotArea>
    </format>
    <format dxfId="293">
      <pivotArea dataOnly="0" labelOnly="1" fieldPosition="0">
        <references count="4">
          <reference field="0" count="1" selected="0">
            <x v="6"/>
          </reference>
          <reference field="1" count="1" selected="0">
            <x v="31"/>
          </reference>
          <reference field="12" count="1" selected="0">
            <x v="9"/>
          </reference>
          <reference field="26" count="1">
            <x v="45"/>
          </reference>
        </references>
      </pivotArea>
    </format>
    <format dxfId="292">
      <pivotArea dataOnly="0" labelOnly="1" fieldPosition="0">
        <references count="4">
          <reference field="0" count="1" selected="0">
            <x v="7"/>
          </reference>
          <reference field="1" count="1" selected="0">
            <x v="27"/>
          </reference>
          <reference field="12" count="1" selected="0">
            <x v="30"/>
          </reference>
          <reference field="26" count="1">
            <x v="9"/>
          </reference>
        </references>
      </pivotArea>
    </format>
    <format dxfId="291">
      <pivotArea dataOnly="0" labelOnly="1" fieldPosition="0">
        <references count="4">
          <reference field="0" count="1" selected="0">
            <x v="8"/>
          </reference>
          <reference field="1" count="1" selected="0">
            <x v="30"/>
          </reference>
          <reference field="12" count="1" selected="0">
            <x v="41"/>
          </reference>
          <reference field="26" count="1">
            <x v="17"/>
          </reference>
        </references>
      </pivotArea>
    </format>
    <format dxfId="290">
      <pivotArea dataOnly="0" labelOnly="1" fieldPosition="0">
        <references count="4">
          <reference field="0" count="1" selected="0">
            <x v="9"/>
          </reference>
          <reference field="1" count="1" selected="0">
            <x v="28"/>
          </reference>
          <reference field="12" count="1" selected="0">
            <x v="38"/>
          </reference>
          <reference field="26" count="1">
            <x v="10"/>
          </reference>
        </references>
      </pivotArea>
    </format>
    <format dxfId="289">
      <pivotArea dataOnly="0" labelOnly="1" fieldPosition="0">
        <references count="4">
          <reference field="0" count="1" selected="0">
            <x v="10"/>
          </reference>
          <reference field="1" count="1" selected="0">
            <x v="41"/>
          </reference>
          <reference field="12" count="1" selected="0">
            <x v="23"/>
          </reference>
          <reference field="26" count="1">
            <x v="32"/>
          </reference>
        </references>
      </pivotArea>
    </format>
    <format dxfId="288">
      <pivotArea dataOnly="0" labelOnly="1" fieldPosition="0">
        <references count="4">
          <reference field="0" count="1" selected="0">
            <x v="11"/>
          </reference>
          <reference field="1" count="1" selected="0">
            <x v="29"/>
          </reference>
          <reference field="12" count="1" selected="0">
            <x v="49"/>
          </reference>
          <reference field="26" count="1">
            <x v="23"/>
          </reference>
        </references>
      </pivotArea>
    </format>
    <format dxfId="287">
      <pivotArea dataOnly="0" labelOnly="1" fieldPosition="0">
        <references count="4">
          <reference field="0" count="1" selected="0">
            <x v="12"/>
          </reference>
          <reference field="1" count="1" selected="0">
            <x v="36"/>
          </reference>
          <reference field="12" count="1" selected="0">
            <x v="37"/>
          </reference>
          <reference field="26" count="1">
            <x v="23"/>
          </reference>
        </references>
      </pivotArea>
    </format>
    <format dxfId="286">
      <pivotArea dataOnly="0" labelOnly="1" fieldPosition="0">
        <references count="4">
          <reference field="0" count="1" selected="0">
            <x v="13"/>
          </reference>
          <reference field="1" count="1" selected="0">
            <x v="11"/>
          </reference>
          <reference field="12" count="1" selected="0">
            <x v="47"/>
          </reference>
          <reference field="26" count="1">
            <x v="5"/>
          </reference>
        </references>
      </pivotArea>
    </format>
    <format dxfId="285">
      <pivotArea dataOnly="0" labelOnly="1" fieldPosition="0">
        <references count="4">
          <reference field="0" count="1" selected="0">
            <x v="14"/>
          </reference>
          <reference field="1" count="1" selected="0">
            <x v="40"/>
          </reference>
          <reference field="12" count="1" selected="0">
            <x v="36"/>
          </reference>
          <reference field="26" count="1">
            <x v="11"/>
          </reference>
        </references>
      </pivotArea>
    </format>
    <format dxfId="284">
      <pivotArea dataOnly="0" labelOnly="1" fieldPosition="0">
        <references count="4">
          <reference field="0" count="1" selected="0">
            <x v="15"/>
          </reference>
          <reference field="1" count="1" selected="0">
            <x v="12"/>
          </reference>
          <reference field="12" count="1" selected="0">
            <x v="4"/>
          </reference>
          <reference field="26" count="1">
            <x v="15"/>
          </reference>
        </references>
      </pivotArea>
    </format>
    <format dxfId="283">
      <pivotArea dataOnly="0" labelOnly="1" fieldPosition="0">
        <references count="4">
          <reference field="0" count="1" selected="0">
            <x v="16"/>
          </reference>
          <reference field="1" count="1" selected="0">
            <x v="13"/>
          </reference>
          <reference field="12" count="1" selected="0">
            <x v="42"/>
          </reference>
          <reference field="26" count="1">
            <x v="18"/>
          </reference>
        </references>
      </pivotArea>
    </format>
    <format dxfId="282">
      <pivotArea dataOnly="0" labelOnly="1" fieldPosition="0">
        <references count="4">
          <reference field="0" count="1" selected="0">
            <x v="17"/>
          </reference>
          <reference field="1" count="1" selected="0">
            <x v="14"/>
          </reference>
          <reference field="12" count="1" selected="0">
            <x v="44"/>
          </reference>
          <reference field="26" count="1">
            <x v="5"/>
          </reference>
        </references>
      </pivotArea>
    </format>
    <format dxfId="281">
      <pivotArea dataOnly="0" labelOnly="1" fieldPosition="0">
        <references count="4">
          <reference field="0" count="1" selected="0">
            <x v="18"/>
          </reference>
          <reference field="1" count="1" selected="0">
            <x v="2"/>
          </reference>
          <reference field="12" count="1" selected="0">
            <x v="31"/>
          </reference>
          <reference field="26" count="1">
            <x v="23"/>
          </reference>
        </references>
      </pivotArea>
    </format>
    <format dxfId="280">
      <pivotArea dataOnly="0" labelOnly="1" fieldPosition="0">
        <references count="4">
          <reference field="0" count="1" selected="0">
            <x v="19"/>
          </reference>
          <reference field="1" count="1" selected="0">
            <x v="24"/>
          </reference>
          <reference field="12" count="1" selected="0">
            <x v="12"/>
          </reference>
          <reference field="26" count="1">
            <x v="22"/>
          </reference>
        </references>
      </pivotArea>
    </format>
    <format dxfId="279">
      <pivotArea dataOnly="0" labelOnly="1" fieldPosition="0">
        <references count="4">
          <reference field="0" count="1" selected="0">
            <x v="20"/>
          </reference>
          <reference field="1" count="1" selected="0">
            <x v="25"/>
          </reference>
          <reference field="12" count="1" selected="0">
            <x v="35"/>
          </reference>
          <reference field="26" count="1">
            <x v="42"/>
          </reference>
        </references>
      </pivotArea>
    </format>
    <format dxfId="278">
      <pivotArea dataOnly="0" labelOnly="1" fieldPosition="0">
        <references count="4">
          <reference field="0" count="1" selected="0">
            <x v="21"/>
          </reference>
          <reference field="1" count="1" selected="0">
            <x v="1"/>
          </reference>
          <reference field="12" count="1" selected="0">
            <x v="25"/>
          </reference>
          <reference field="26" count="1">
            <x v="10"/>
          </reference>
        </references>
      </pivotArea>
    </format>
    <format dxfId="277">
      <pivotArea dataOnly="0" labelOnly="1" fieldPosition="0">
        <references count="4">
          <reference field="0" count="1" selected="0">
            <x v="22"/>
          </reference>
          <reference field="1" count="1" selected="0">
            <x v="4"/>
          </reference>
          <reference field="12" count="1" selected="0">
            <x v="46"/>
          </reference>
          <reference field="26" count="1">
            <x v="1"/>
          </reference>
        </references>
      </pivotArea>
    </format>
    <format dxfId="276">
      <pivotArea dataOnly="0" labelOnly="1" fieldPosition="0">
        <references count="4">
          <reference field="0" count="1" selected="0">
            <x v="23"/>
          </reference>
          <reference field="1" count="1" selected="0">
            <x v="5"/>
          </reference>
          <reference field="12" count="1" selected="0">
            <x v="3"/>
          </reference>
          <reference field="26" count="1">
            <x v="45"/>
          </reference>
        </references>
      </pivotArea>
    </format>
    <format dxfId="275">
      <pivotArea dataOnly="0" labelOnly="1" fieldPosition="0">
        <references count="4">
          <reference field="0" count="1" selected="0">
            <x v="24"/>
          </reference>
          <reference field="1" count="1" selected="0">
            <x v="6"/>
          </reference>
          <reference field="12" count="1" selected="0">
            <x v="1"/>
          </reference>
          <reference field="26" count="1">
            <x v="12"/>
          </reference>
        </references>
      </pivotArea>
    </format>
    <format dxfId="274">
      <pivotArea dataOnly="0" labelOnly="1" fieldPosition="0">
        <references count="4">
          <reference field="0" count="1" selected="0">
            <x v="25"/>
          </reference>
          <reference field="1" count="1" selected="0">
            <x v="35"/>
          </reference>
          <reference field="12" count="1" selected="0">
            <x v="34"/>
          </reference>
          <reference field="26" count="1">
            <x v="24"/>
          </reference>
        </references>
      </pivotArea>
    </format>
    <format dxfId="273">
      <pivotArea dataOnly="0" labelOnly="1" fieldPosition="0">
        <references count="4">
          <reference field="0" count="1" selected="0">
            <x v="26"/>
          </reference>
          <reference field="1" count="1" selected="0">
            <x v="9"/>
          </reference>
          <reference field="12" count="1" selected="0">
            <x v="48"/>
          </reference>
          <reference field="26" count="1">
            <x v="16"/>
          </reference>
        </references>
      </pivotArea>
    </format>
    <format dxfId="272">
      <pivotArea dataOnly="0" labelOnly="1" fieldPosition="0">
        <references count="4">
          <reference field="0" count="1" selected="0">
            <x v="27"/>
          </reference>
          <reference field="1" count="1" selected="0">
            <x v="10"/>
          </reference>
          <reference field="12" count="1" selected="0">
            <x v="14"/>
          </reference>
          <reference field="26" count="1">
            <x v="28"/>
          </reference>
        </references>
      </pivotArea>
    </format>
    <format dxfId="271">
      <pivotArea dataOnly="0" labelOnly="1" fieldPosition="0">
        <references count="4">
          <reference field="0" count="1" selected="0">
            <x v="28"/>
          </reference>
          <reference field="1" count="1" selected="0">
            <x v="39"/>
          </reference>
          <reference field="12" count="1" selected="0">
            <x v="32"/>
          </reference>
          <reference field="26" count="1">
            <x v="40"/>
          </reference>
        </references>
      </pivotArea>
    </format>
    <format dxfId="270">
      <pivotArea dataOnly="0" labelOnly="1" fieldPosition="0">
        <references count="4">
          <reference field="0" count="1" selected="0">
            <x v="29"/>
          </reference>
          <reference field="1" count="1" selected="0">
            <x v="23"/>
          </reference>
          <reference field="12" count="1" selected="0">
            <x v="22"/>
          </reference>
          <reference field="26" count="1">
            <x v="25"/>
          </reference>
        </references>
      </pivotArea>
    </format>
    <format dxfId="269">
      <pivotArea dataOnly="0" labelOnly="1" fieldPosition="0">
        <references count="4">
          <reference field="0" count="1" selected="0">
            <x v="30"/>
          </reference>
          <reference field="1" count="1" selected="0">
            <x v="22"/>
          </reference>
          <reference field="12" count="1" selected="0">
            <x v="8"/>
          </reference>
          <reference field="26" count="1">
            <x v="35"/>
          </reference>
        </references>
      </pivotArea>
    </format>
    <format dxfId="268">
      <pivotArea dataOnly="0" labelOnly="1" fieldPosition="0">
        <references count="4">
          <reference field="0" count="1" selected="0">
            <x v="31"/>
          </reference>
          <reference field="1" count="1" selected="0">
            <x v="21"/>
          </reference>
          <reference field="12" count="1" selected="0">
            <x v="6"/>
          </reference>
          <reference field="26" count="1">
            <x v="16"/>
          </reference>
        </references>
      </pivotArea>
    </format>
    <format dxfId="267">
      <pivotArea dataOnly="0" labelOnly="1" fieldPosition="0">
        <references count="4">
          <reference field="0" count="1" selected="0">
            <x v="32"/>
          </reference>
          <reference field="1" count="1" selected="0">
            <x v="19"/>
          </reference>
          <reference field="12" count="1" selected="0">
            <x v="45"/>
          </reference>
          <reference field="26" count="1">
            <x v="26"/>
          </reference>
        </references>
      </pivotArea>
    </format>
    <format dxfId="266">
      <pivotArea dataOnly="0" labelOnly="1" fieldPosition="0">
        <references count="4">
          <reference field="0" count="1" selected="0">
            <x v="33"/>
          </reference>
          <reference field="1" count="1" selected="0">
            <x v="20"/>
          </reference>
          <reference field="12" count="1" selected="0">
            <x v="17"/>
          </reference>
          <reference field="26" count="1">
            <x v="27"/>
          </reference>
        </references>
      </pivotArea>
    </format>
    <format dxfId="265">
      <pivotArea dataOnly="0" labelOnly="1" fieldPosition="0">
        <references count="4">
          <reference field="0" count="1" selected="0">
            <x v="34"/>
          </reference>
          <reference field="1" count="1" selected="0">
            <x v="16"/>
          </reference>
          <reference field="12" count="1" selected="0">
            <x v="16"/>
          </reference>
          <reference field="26" count="1">
            <x v="1"/>
          </reference>
        </references>
      </pivotArea>
    </format>
    <format dxfId="264">
      <pivotArea dataOnly="0" labelOnly="1" fieldPosition="0">
        <references count="4">
          <reference field="0" count="1" selected="0">
            <x v="35"/>
          </reference>
          <reference field="1" count="1" selected="0">
            <x v="17"/>
          </reference>
          <reference field="12" count="1" selected="0">
            <x v="15"/>
          </reference>
          <reference field="26" count="1">
            <x v="21"/>
          </reference>
        </references>
      </pivotArea>
    </format>
    <format dxfId="263">
      <pivotArea dataOnly="0" labelOnly="1" fieldPosition="0">
        <references count="4">
          <reference field="0" count="1" selected="0">
            <x v="36"/>
          </reference>
          <reference field="1" count="1" selected="0">
            <x v="15"/>
          </reference>
          <reference field="12" count="1" selected="0">
            <x v="20"/>
          </reference>
          <reference field="26" count="1">
            <x v="32"/>
          </reference>
        </references>
      </pivotArea>
    </format>
    <format dxfId="262">
      <pivotArea dataOnly="0" labelOnly="1" fieldPosition="0">
        <references count="4">
          <reference field="0" count="1" selected="0">
            <x v="37"/>
          </reference>
          <reference field="1" count="1" selected="0">
            <x v="18"/>
          </reference>
          <reference field="12" count="1" selected="0">
            <x v="13"/>
          </reference>
          <reference field="26" count="1">
            <x v="29"/>
          </reference>
        </references>
      </pivotArea>
    </format>
    <format dxfId="261">
      <pivotArea dataOnly="0" labelOnly="1" fieldPosition="0">
        <references count="4">
          <reference field="0" count="1" selected="0">
            <x v="38"/>
          </reference>
          <reference field="1" count="1" selected="0">
            <x v="44"/>
          </reference>
          <reference field="12" count="1" selected="0">
            <x v="43"/>
          </reference>
          <reference field="26" count="1">
            <x v="30"/>
          </reference>
        </references>
      </pivotArea>
    </format>
    <format dxfId="260">
      <pivotArea dataOnly="0" labelOnly="1" fieldPosition="0">
        <references count="4">
          <reference field="0" count="1" selected="0">
            <x v="39"/>
          </reference>
          <reference field="1" count="1" selected="0">
            <x v="43"/>
          </reference>
          <reference field="12" count="1" selected="0">
            <x v="28"/>
          </reference>
          <reference field="26" count="1">
            <x v="34"/>
          </reference>
        </references>
      </pivotArea>
    </format>
    <format dxfId="259">
      <pivotArea dataOnly="0" labelOnly="1" fieldPosition="0">
        <references count="4">
          <reference field="0" count="1" selected="0">
            <x v="40"/>
          </reference>
          <reference field="1" count="1" selected="0">
            <x v="49"/>
          </reference>
          <reference field="12" count="1" selected="0">
            <x v="24"/>
          </reference>
          <reference field="26" count="1">
            <x v="20"/>
          </reference>
        </references>
      </pivotArea>
    </format>
    <format dxfId="258">
      <pivotArea dataOnly="0" labelOnly="1" fieldPosition="0">
        <references count="4">
          <reference field="0" count="1" selected="0">
            <x v="41"/>
          </reference>
          <reference field="1" count="1" selected="0">
            <x v="46"/>
          </reference>
          <reference field="12" count="1" selected="0">
            <x v="11"/>
          </reference>
          <reference field="26" count="1">
            <x v="36"/>
          </reference>
        </references>
      </pivotArea>
    </format>
    <format dxfId="257">
      <pivotArea dataOnly="0" labelOnly="1" fieldPosition="0">
        <references count="4">
          <reference field="0" count="1" selected="0">
            <x v="42"/>
          </reference>
          <reference field="1" count="1" selected="0">
            <x v="48"/>
          </reference>
          <reference field="12" count="1" selected="0">
            <x v="2"/>
          </reference>
          <reference field="26" count="1">
            <x v="6"/>
          </reference>
        </references>
      </pivotArea>
    </format>
    <format dxfId="256">
      <pivotArea dataOnly="0" labelOnly="1" fieldPosition="0">
        <references count="4">
          <reference field="0" count="1" selected="0">
            <x v="43"/>
          </reference>
          <reference field="1" count="1" selected="0">
            <x v="47"/>
          </reference>
          <reference field="12" count="1" selected="0">
            <x v="21"/>
          </reference>
          <reference field="26" count="1">
            <x v="11"/>
          </reference>
        </references>
      </pivotArea>
    </format>
    <format dxfId="255">
      <pivotArea dataOnly="0" labelOnly="1" fieldPosition="0">
        <references count="4">
          <reference field="0" count="1" selected="0">
            <x v="44"/>
          </reference>
          <reference field="1" count="1" selected="0">
            <x v="38"/>
          </reference>
          <reference field="12" count="1" selected="0">
            <x v="29"/>
          </reference>
          <reference field="26" count="1">
            <x v="6"/>
          </reference>
        </references>
      </pivotArea>
    </format>
    <format dxfId="254">
      <pivotArea dataOnly="0" labelOnly="1" fieldPosition="0">
        <references count="4">
          <reference field="0" count="1" selected="0">
            <x v="45"/>
          </reference>
          <reference field="1" count="1" selected="0">
            <x v="0"/>
          </reference>
          <reference field="12" count="1" selected="0">
            <x v="27"/>
          </reference>
          <reference field="26" count="1">
            <x v="19"/>
          </reference>
        </references>
      </pivotArea>
    </format>
    <format dxfId="253">
      <pivotArea dataOnly="0" labelOnly="1" fieldPosition="0">
        <references count="4">
          <reference field="0" count="1" selected="0">
            <x v="46"/>
          </reference>
          <reference field="1" count="1" selected="0">
            <x v="37"/>
          </reference>
          <reference field="12" count="1" selected="0">
            <x v="33"/>
          </reference>
          <reference field="26" count="1">
            <x v="14"/>
          </reference>
        </references>
      </pivotArea>
    </format>
    <format dxfId="252">
      <pivotArea dataOnly="0" labelOnly="1" fieldPosition="0">
        <references count="4">
          <reference field="0" count="1" selected="0">
            <x v="47"/>
          </reference>
          <reference field="1" count="1" selected="0">
            <x v="7"/>
          </reference>
          <reference field="12" count="1" selected="0">
            <x v="40"/>
          </reference>
          <reference field="26" count="1">
            <x v="43"/>
          </reference>
        </references>
      </pivotArea>
    </format>
    <format dxfId="251">
      <pivotArea dataOnly="0" labelOnly="1" fieldPosition="0">
        <references count="4">
          <reference field="0" count="1" selected="0">
            <x v="48"/>
          </reference>
          <reference field="1" count="1" selected="0">
            <x v="8"/>
          </reference>
          <reference field="12" count="1" selected="0">
            <x v="26"/>
          </reference>
          <reference field="26" count="1">
            <x v="33"/>
          </reference>
        </references>
      </pivotArea>
    </format>
    <format dxfId="250">
      <pivotArea dataOnly="0" labelOnly="1" fieldPosition="0">
        <references count="4">
          <reference field="0" count="1" selected="0">
            <x v="49"/>
          </reference>
          <reference field="1" count="1" selected="0">
            <x v="42"/>
          </reference>
          <reference field="12" count="1" selected="0">
            <x v="39"/>
          </reference>
          <reference field="26" count="1">
            <x v="39"/>
          </reference>
        </references>
      </pivotArea>
    </format>
    <format dxfId="249">
      <pivotArea dataOnly="0" labelOnly="1" fieldPosition="0">
        <references count="5">
          <reference field="0" count="1" selected="0">
            <x v="0"/>
          </reference>
          <reference field="1" count="1" selected="0">
            <x v="32"/>
          </reference>
          <reference field="8" count="1">
            <x v="0"/>
          </reference>
          <reference field="12" count="1" selected="0">
            <x v="0"/>
          </reference>
          <reference field="26" count="1" selected="0">
            <x v="43"/>
          </reference>
        </references>
      </pivotArea>
    </format>
    <format dxfId="248">
      <pivotArea dataOnly="0" labelOnly="1" fieldPosition="0">
        <references count="5">
          <reference field="0" count="1" selected="0">
            <x v="1"/>
          </reference>
          <reference field="1" count="1" selected="0">
            <x v="33"/>
          </reference>
          <reference field="8" count="1">
            <x v="0"/>
          </reference>
          <reference field="12" count="1" selected="0">
            <x v="18"/>
          </reference>
          <reference field="26" count="1" selected="0">
            <x v="38"/>
          </reference>
        </references>
      </pivotArea>
    </format>
    <format dxfId="247">
      <pivotArea dataOnly="0" labelOnly="1" fieldPosition="0">
        <references count="5">
          <reference field="0" count="1" selected="0">
            <x v="2"/>
          </reference>
          <reference field="1" count="1" selected="0">
            <x v="45"/>
          </reference>
          <reference field="8" count="1">
            <x v="1"/>
          </reference>
          <reference field="12" count="1" selected="0">
            <x v="10"/>
          </reference>
          <reference field="26" count="1" selected="0">
            <x v="15"/>
          </reference>
        </references>
      </pivotArea>
    </format>
    <format dxfId="246">
      <pivotArea dataOnly="0" labelOnly="1" fieldPosition="0">
        <references count="5">
          <reference field="0" count="1" selected="0">
            <x v="3"/>
          </reference>
          <reference field="1" count="1" selected="0">
            <x v="34"/>
          </reference>
          <reference field="8" count="1">
            <x v="0"/>
          </reference>
          <reference field="12" count="1" selected="0">
            <x v="7"/>
          </reference>
          <reference field="26" count="1" selected="0">
            <x v="21"/>
          </reference>
        </references>
      </pivotArea>
    </format>
    <format dxfId="245">
      <pivotArea dataOnly="0" labelOnly="1" fieldPosition="0">
        <references count="5">
          <reference field="0" count="1" selected="0">
            <x v="4"/>
          </reference>
          <reference field="1" count="1" selected="0">
            <x v="3"/>
          </reference>
          <reference field="8" count="1">
            <x v="1"/>
          </reference>
          <reference field="12" count="1" selected="0">
            <x v="5"/>
          </reference>
          <reference field="26" count="1" selected="0">
            <x v="16"/>
          </reference>
        </references>
      </pivotArea>
    </format>
    <format dxfId="244">
      <pivotArea dataOnly="0" labelOnly="1" fieldPosition="0">
        <references count="5">
          <reference field="0" count="1" selected="0">
            <x v="5"/>
          </reference>
          <reference field="1" count="1" selected="0">
            <x v="26"/>
          </reference>
          <reference field="8" count="1">
            <x v="1"/>
          </reference>
          <reference field="12" count="1" selected="0">
            <x v="19"/>
          </reference>
          <reference field="26" count="1" selected="0">
            <x v="38"/>
          </reference>
        </references>
      </pivotArea>
    </format>
    <format dxfId="243">
      <pivotArea dataOnly="0" labelOnly="1" fieldPosition="0">
        <references count="5">
          <reference field="0" count="1" selected="0">
            <x v="6"/>
          </reference>
          <reference field="1" count="1" selected="0">
            <x v="31"/>
          </reference>
          <reference field="8" count="1">
            <x v="0"/>
          </reference>
          <reference field="12" count="1" selected="0">
            <x v="9"/>
          </reference>
          <reference field="26" count="1" selected="0">
            <x v="45"/>
          </reference>
        </references>
      </pivotArea>
    </format>
    <format dxfId="242">
      <pivotArea dataOnly="0" labelOnly="1" fieldPosition="0">
        <references count="5">
          <reference field="0" count="1" selected="0">
            <x v="7"/>
          </reference>
          <reference field="1" count="1" selected="0">
            <x v="27"/>
          </reference>
          <reference field="8" count="1">
            <x v="1"/>
          </reference>
          <reference field="12" count="1" selected="0">
            <x v="30"/>
          </reference>
          <reference field="26" count="1" selected="0">
            <x v="9"/>
          </reference>
        </references>
      </pivotArea>
    </format>
    <format dxfId="241">
      <pivotArea dataOnly="0" labelOnly="1" fieldPosition="0">
        <references count="5">
          <reference field="0" count="1" selected="0">
            <x v="8"/>
          </reference>
          <reference field="1" count="1" selected="0">
            <x v="30"/>
          </reference>
          <reference field="8" count="1">
            <x v="0"/>
          </reference>
          <reference field="12" count="1" selected="0">
            <x v="41"/>
          </reference>
          <reference field="26" count="1" selected="0">
            <x v="17"/>
          </reference>
        </references>
      </pivotArea>
    </format>
    <format dxfId="240">
      <pivotArea dataOnly="0" labelOnly="1" fieldPosition="0">
        <references count="5">
          <reference field="0" count="1" selected="0">
            <x v="9"/>
          </reference>
          <reference field="1" count="1" selected="0">
            <x v="28"/>
          </reference>
          <reference field="8" count="1">
            <x v="1"/>
          </reference>
          <reference field="12" count="1" selected="0">
            <x v="38"/>
          </reference>
          <reference field="26" count="1" selected="0">
            <x v="10"/>
          </reference>
        </references>
      </pivotArea>
    </format>
    <format dxfId="239">
      <pivotArea dataOnly="0" labelOnly="1" fieldPosition="0">
        <references count="5">
          <reference field="0" count="1" selected="0">
            <x v="10"/>
          </reference>
          <reference field="1" count="1" selected="0">
            <x v="41"/>
          </reference>
          <reference field="8" count="1">
            <x v="1"/>
          </reference>
          <reference field="12" count="1" selected="0">
            <x v="23"/>
          </reference>
          <reference field="26" count="1" selected="0">
            <x v="32"/>
          </reference>
        </references>
      </pivotArea>
    </format>
    <format dxfId="238">
      <pivotArea dataOnly="0" labelOnly="1" fieldPosition="0">
        <references count="5">
          <reference field="0" count="1" selected="0">
            <x v="11"/>
          </reference>
          <reference field="1" count="1" selected="0">
            <x v="29"/>
          </reference>
          <reference field="8" count="1">
            <x v="0"/>
          </reference>
          <reference field="12" count="1" selected="0">
            <x v="49"/>
          </reference>
          <reference field="26" count="1" selected="0">
            <x v="23"/>
          </reference>
        </references>
      </pivotArea>
    </format>
    <format dxfId="237">
      <pivotArea dataOnly="0" labelOnly="1" fieldPosition="0">
        <references count="5">
          <reference field="0" count="1" selected="0">
            <x v="12"/>
          </reference>
          <reference field="1" count="1" selected="0">
            <x v="36"/>
          </reference>
          <reference field="8" count="1">
            <x v="0"/>
          </reference>
          <reference field="12" count="1" selected="0">
            <x v="37"/>
          </reference>
          <reference field="26" count="1" selected="0">
            <x v="23"/>
          </reference>
        </references>
      </pivotArea>
    </format>
    <format dxfId="236">
      <pivotArea dataOnly="0" labelOnly="1" fieldPosition="0">
        <references count="5">
          <reference field="0" count="1" selected="0">
            <x v="13"/>
          </reference>
          <reference field="1" count="1" selected="0">
            <x v="11"/>
          </reference>
          <reference field="8" count="1">
            <x v="1"/>
          </reference>
          <reference field="12" count="1" selected="0">
            <x v="47"/>
          </reference>
          <reference field="26" count="1" selected="0">
            <x v="5"/>
          </reference>
        </references>
      </pivotArea>
    </format>
    <format dxfId="235">
      <pivotArea dataOnly="0" labelOnly="1" fieldPosition="0">
        <references count="5">
          <reference field="0" count="1" selected="0">
            <x v="14"/>
          </reference>
          <reference field="1" count="1" selected="0">
            <x v="40"/>
          </reference>
          <reference field="8" count="1">
            <x v="0"/>
          </reference>
          <reference field="12" count="1" selected="0">
            <x v="36"/>
          </reference>
          <reference field="26" count="1" selected="0">
            <x v="11"/>
          </reference>
        </references>
      </pivotArea>
    </format>
    <format dxfId="234">
      <pivotArea dataOnly="0" labelOnly="1" fieldPosition="0">
        <references count="5">
          <reference field="0" count="1" selected="0">
            <x v="15"/>
          </reference>
          <reference field="1" count="1" selected="0">
            <x v="12"/>
          </reference>
          <reference field="8" count="1">
            <x v="1"/>
          </reference>
          <reference field="12" count="1" selected="0">
            <x v="4"/>
          </reference>
          <reference field="26" count="1" selected="0">
            <x v="15"/>
          </reference>
        </references>
      </pivotArea>
    </format>
    <format dxfId="233">
      <pivotArea dataOnly="0" labelOnly="1" fieldPosition="0">
        <references count="5">
          <reference field="0" count="1" selected="0">
            <x v="16"/>
          </reference>
          <reference field="1" count="1" selected="0">
            <x v="13"/>
          </reference>
          <reference field="8" count="1">
            <x v="1"/>
          </reference>
          <reference field="12" count="1" selected="0">
            <x v="42"/>
          </reference>
          <reference field="26" count="1" selected="0">
            <x v="18"/>
          </reference>
        </references>
      </pivotArea>
    </format>
    <format dxfId="232">
      <pivotArea dataOnly="0" labelOnly="1" fieldPosition="0">
        <references count="5">
          <reference field="0" count="1" selected="0">
            <x v="17"/>
          </reference>
          <reference field="1" count="1" selected="0">
            <x v="14"/>
          </reference>
          <reference field="8" count="1">
            <x v="1"/>
          </reference>
          <reference field="12" count="1" selected="0">
            <x v="44"/>
          </reference>
          <reference field="26" count="1" selected="0">
            <x v="5"/>
          </reference>
        </references>
      </pivotArea>
    </format>
    <format dxfId="231">
      <pivotArea dataOnly="0" labelOnly="1" fieldPosition="0">
        <references count="5">
          <reference field="0" count="1" selected="0">
            <x v="18"/>
          </reference>
          <reference field="1" count="1" selected="0">
            <x v="2"/>
          </reference>
          <reference field="8" count="1">
            <x v="0"/>
          </reference>
          <reference field="12" count="1" selected="0">
            <x v="31"/>
          </reference>
          <reference field="26" count="1" selected="0">
            <x v="23"/>
          </reference>
        </references>
      </pivotArea>
    </format>
    <format dxfId="230">
      <pivotArea dataOnly="0" labelOnly="1" fieldPosition="0">
        <references count="5">
          <reference field="0" count="1" selected="0">
            <x v="19"/>
          </reference>
          <reference field="1" count="1" selected="0">
            <x v="24"/>
          </reference>
          <reference field="8" count="1">
            <x v="1"/>
          </reference>
          <reference field="12" count="1" selected="0">
            <x v="12"/>
          </reference>
          <reference field="26" count="1" selected="0">
            <x v="22"/>
          </reference>
        </references>
      </pivotArea>
    </format>
    <format dxfId="229">
      <pivotArea dataOnly="0" labelOnly="1" fieldPosition="0">
        <references count="5">
          <reference field="0" count="1" selected="0">
            <x v="20"/>
          </reference>
          <reference field="1" count="1" selected="0">
            <x v="25"/>
          </reference>
          <reference field="8" count="1">
            <x v="1"/>
          </reference>
          <reference field="12" count="1" selected="0">
            <x v="35"/>
          </reference>
          <reference field="26" count="1" selected="0">
            <x v="42"/>
          </reference>
        </references>
      </pivotArea>
    </format>
    <format dxfId="228">
      <pivotArea dataOnly="0" labelOnly="1" fieldPosition="0">
        <references count="5">
          <reference field="0" count="1" selected="0">
            <x v="21"/>
          </reference>
          <reference field="1" count="1" selected="0">
            <x v="1"/>
          </reference>
          <reference field="8" count="1">
            <x v="0"/>
          </reference>
          <reference field="12" count="1" selected="0">
            <x v="25"/>
          </reference>
          <reference field="26" count="1" selected="0">
            <x v="10"/>
          </reference>
        </references>
      </pivotArea>
    </format>
    <format dxfId="227">
      <pivotArea dataOnly="0" labelOnly="1" fieldPosition="0">
        <references count="5">
          <reference field="0" count="1" selected="0">
            <x v="22"/>
          </reference>
          <reference field="1" count="1" selected="0">
            <x v="4"/>
          </reference>
          <reference field="8" count="1">
            <x v="0"/>
          </reference>
          <reference field="12" count="1" selected="0">
            <x v="46"/>
          </reference>
          <reference field="26" count="1" selected="0">
            <x v="1"/>
          </reference>
        </references>
      </pivotArea>
    </format>
    <format dxfId="226">
      <pivotArea dataOnly="0" labelOnly="1" fieldPosition="0">
        <references count="5">
          <reference field="0" count="1" selected="0">
            <x v="23"/>
          </reference>
          <reference field="1" count="1" selected="0">
            <x v="5"/>
          </reference>
          <reference field="8" count="1">
            <x v="0"/>
          </reference>
          <reference field="12" count="1" selected="0">
            <x v="3"/>
          </reference>
          <reference field="26" count="1" selected="0">
            <x v="45"/>
          </reference>
        </references>
      </pivotArea>
    </format>
    <format dxfId="225">
      <pivotArea dataOnly="0" labelOnly="1" fieldPosition="0">
        <references count="5">
          <reference field="0" count="1" selected="0">
            <x v="24"/>
          </reference>
          <reference field="1" count="1" selected="0">
            <x v="6"/>
          </reference>
          <reference field="8" count="1">
            <x v="0"/>
          </reference>
          <reference field="12" count="1" selected="0">
            <x v="1"/>
          </reference>
          <reference field="26" count="1" selected="0">
            <x v="12"/>
          </reference>
        </references>
      </pivotArea>
    </format>
    <format dxfId="224">
      <pivotArea dataOnly="0" labelOnly="1" fieldPosition="0">
        <references count="5">
          <reference field="0" count="1" selected="0">
            <x v="25"/>
          </reference>
          <reference field="1" count="1" selected="0">
            <x v="35"/>
          </reference>
          <reference field="8" count="1">
            <x v="0"/>
          </reference>
          <reference field="12" count="1" selected="0">
            <x v="34"/>
          </reference>
          <reference field="26" count="1" selected="0">
            <x v="24"/>
          </reference>
        </references>
      </pivotArea>
    </format>
    <format dxfId="223">
      <pivotArea dataOnly="0" labelOnly="1" fieldPosition="0">
        <references count="5">
          <reference field="0" count="1" selected="0">
            <x v="26"/>
          </reference>
          <reference field="1" count="1" selected="0">
            <x v="9"/>
          </reference>
          <reference field="8" count="1">
            <x v="1"/>
          </reference>
          <reference field="12" count="1" selected="0">
            <x v="48"/>
          </reference>
          <reference field="26" count="1" selected="0">
            <x v="16"/>
          </reference>
        </references>
      </pivotArea>
    </format>
    <format dxfId="222">
      <pivotArea dataOnly="0" labelOnly="1" fieldPosition="0">
        <references count="5">
          <reference field="0" count="1" selected="0">
            <x v="27"/>
          </reference>
          <reference field="1" count="1" selected="0">
            <x v="10"/>
          </reference>
          <reference field="8" count="1">
            <x v="1"/>
          </reference>
          <reference field="12" count="1" selected="0">
            <x v="14"/>
          </reference>
          <reference field="26" count="1" selected="0">
            <x v="28"/>
          </reference>
        </references>
      </pivotArea>
    </format>
    <format dxfId="221">
      <pivotArea dataOnly="0" labelOnly="1" fieldPosition="0">
        <references count="5">
          <reference field="0" count="1" selected="0">
            <x v="28"/>
          </reference>
          <reference field="1" count="1" selected="0">
            <x v="39"/>
          </reference>
          <reference field="8" count="1">
            <x v="0"/>
          </reference>
          <reference field="12" count="1" selected="0">
            <x v="32"/>
          </reference>
          <reference field="26" count="1" selected="0">
            <x v="40"/>
          </reference>
        </references>
      </pivotArea>
    </format>
    <format dxfId="220">
      <pivotArea dataOnly="0" labelOnly="1" fieldPosition="0">
        <references count="5">
          <reference field="0" count="1" selected="0">
            <x v="29"/>
          </reference>
          <reference field="1" count="1" selected="0">
            <x v="23"/>
          </reference>
          <reference field="8" count="1">
            <x v="0"/>
          </reference>
          <reference field="12" count="1" selected="0">
            <x v="22"/>
          </reference>
          <reference field="26" count="1" selected="0">
            <x v="25"/>
          </reference>
        </references>
      </pivotArea>
    </format>
    <format dxfId="219">
      <pivotArea dataOnly="0" labelOnly="1" fieldPosition="0">
        <references count="5">
          <reference field="0" count="1" selected="0">
            <x v="30"/>
          </reference>
          <reference field="1" count="1" selected="0">
            <x v="22"/>
          </reference>
          <reference field="8" count="1">
            <x v="0"/>
          </reference>
          <reference field="12" count="1" selected="0">
            <x v="8"/>
          </reference>
          <reference field="26" count="1" selected="0">
            <x v="35"/>
          </reference>
        </references>
      </pivotArea>
    </format>
    <format dxfId="218">
      <pivotArea dataOnly="0" labelOnly="1" fieldPosition="0">
        <references count="5">
          <reference field="0" count="1" selected="0">
            <x v="31"/>
          </reference>
          <reference field="1" count="1" selected="0">
            <x v="21"/>
          </reference>
          <reference field="8" count="1">
            <x v="0"/>
          </reference>
          <reference field="12" count="1" selected="0">
            <x v="6"/>
          </reference>
          <reference field="26" count="1" selected="0">
            <x v="16"/>
          </reference>
        </references>
      </pivotArea>
    </format>
    <format dxfId="217">
      <pivotArea dataOnly="0" labelOnly="1" fieldPosition="0">
        <references count="5">
          <reference field="0" count="1" selected="0">
            <x v="32"/>
          </reference>
          <reference field="1" count="1" selected="0">
            <x v="19"/>
          </reference>
          <reference field="8" count="1">
            <x v="1"/>
          </reference>
          <reference field="12" count="1" selected="0">
            <x v="45"/>
          </reference>
          <reference field="26" count="1" selected="0">
            <x v="26"/>
          </reference>
        </references>
      </pivotArea>
    </format>
    <format dxfId="216">
      <pivotArea dataOnly="0" labelOnly="1" fieldPosition="0">
        <references count="5">
          <reference field="0" count="1" selected="0">
            <x v="33"/>
          </reference>
          <reference field="1" count="1" selected="0">
            <x v="20"/>
          </reference>
          <reference field="8" count="1">
            <x v="1"/>
          </reference>
          <reference field="12" count="1" selected="0">
            <x v="17"/>
          </reference>
          <reference field="26" count="1" selected="0">
            <x v="27"/>
          </reference>
        </references>
      </pivotArea>
    </format>
    <format dxfId="215">
      <pivotArea dataOnly="0" labelOnly="1" fieldPosition="0">
        <references count="5">
          <reference field="0" count="1" selected="0">
            <x v="34"/>
          </reference>
          <reference field="1" count="1" selected="0">
            <x v="16"/>
          </reference>
          <reference field="8" count="1">
            <x v="1"/>
          </reference>
          <reference field="12" count="1" selected="0">
            <x v="16"/>
          </reference>
          <reference field="26" count="1" selected="0">
            <x v="1"/>
          </reference>
        </references>
      </pivotArea>
    </format>
    <format dxfId="214">
      <pivotArea dataOnly="0" labelOnly="1" fieldPosition="0">
        <references count="5">
          <reference field="0" count="1" selected="0">
            <x v="35"/>
          </reference>
          <reference field="1" count="1" selected="0">
            <x v="17"/>
          </reference>
          <reference field="8" count="1">
            <x v="1"/>
          </reference>
          <reference field="12" count="1" selected="0">
            <x v="15"/>
          </reference>
          <reference field="26" count="1" selected="0">
            <x v="21"/>
          </reference>
        </references>
      </pivotArea>
    </format>
    <format dxfId="213">
      <pivotArea dataOnly="0" labelOnly="1" fieldPosition="0">
        <references count="5">
          <reference field="0" count="1" selected="0">
            <x v="36"/>
          </reference>
          <reference field="1" count="1" selected="0">
            <x v="15"/>
          </reference>
          <reference field="8" count="1">
            <x v="1"/>
          </reference>
          <reference field="12" count="1" selected="0">
            <x v="20"/>
          </reference>
          <reference field="26" count="1" selected="0">
            <x v="32"/>
          </reference>
        </references>
      </pivotArea>
    </format>
    <format dxfId="212">
      <pivotArea dataOnly="0" labelOnly="1" fieldPosition="0">
        <references count="5">
          <reference field="0" count="1" selected="0">
            <x v="37"/>
          </reference>
          <reference field="1" count="1" selected="0">
            <x v="18"/>
          </reference>
          <reference field="8" count="1">
            <x v="1"/>
          </reference>
          <reference field="12" count="1" selected="0">
            <x v="13"/>
          </reference>
          <reference field="26" count="1" selected="0">
            <x v="29"/>
          </reference>
        </references>
      </pivotArea>
    </format>
    <format dxfId="211">
      <pivotArea dataOnly="0" labelOnly="1" fieldPosition="0">
        <references count="5">
          <reference field="0" count="1" selected="0">
            <x v="38"/>
          </reference>
          <reference field="1" count="1" selected="0">
            <x v="44"/>
          </reference>
          <reference field="8" count="1">
            <x v="1"/>
          </reference>
          <reference field="12" count="1" selected="0">
            <x v="43"/>
          </reference>
          <reference field="26" count="1" selected="0">
            <x v="30"/>
          </reference>
        </references>
      </pivotArea>
    </format>
    <format dxfId="210">
      <pivotArea dataOnly="0" labelOnly="1" fieldPosition="0">
        <references count="5">
          <reference field="0" count="1" selected="0">
            <x v="39"/>
          </reference>
          <reference field="1" count="1" selected="0">
            <x v="43"/>
          </reference>
          <reference field="8" count="1">
            <x v="1"/>
          </reference>
          <reference field="12" count="1" selected="0">
            <x v="28"/>
          </reference>
          <reference field="26" count="1" selected="0">
            <x v="34"/>
          </reference>
        </references>
      </pivotArea>
    </format>
    <format dxfId="209">
      <pivotArea dataOnly="0" labelOnly="1" fieldPosition="0">
        <references count="5">
          <reference field="0" count="1" selected="0">
            <x v="40"/>
          </reference>
          <reference field="1" count="1" selected="0">
            <x v="49"/>
          </reference>
          <reference field="8" count="1">
            <x v="0"/>
          </reference>
          <reference field="12" count="1" selected="0">
            <x v="24"/>
          </reference>
          <reference field="26" count="1" selected="0">
            <x v="20"/>
          </reference>
        </references>
      </pivotArea>
    </format>
    <format dxfId="208">
      <pivotArea dataOnly="0" labelOnly="1" fieldPosition="0">
        <references count="5">
          <reference field="0" count="1" selected="0">
            <x v="41"/>
          </reference>
          <reference field="1" count="1" selected="0">
            <x v="46"/>
          </reference>
          <reference field="8" count="1">
            <x v="0"/>
          </reference>
          <reference field="12" count="1" selected="0">
            <x v="11"/>
          </reference>
          <reference field="26" count="1" selected="0">
            <x v="36"/>
          </reference>
        </references>
      </pivotArea>
    </format>
    <format dxfId="207">
      <pivotArea dataOnly="0" labelOnly="1" fieldPosition="0">
        <references count="5">
          <reference field="0" count="1" selected="0">
            <x v="42"/>
          </reference>
          <reference field="1" count="1" selected="0">
            <x v="48"/>
          </reference>
          <reference field="8" count="1">
            <x v="0"/>
          </reference>
          <reference field="12" count="1" selected="0">
            <x v="2"/>
          </reference>
          <reference field="26" count="1" selected="0">
            <x v="6"/>
          </reference>
        </references>
      </pivotArea>
    </format>
    <format dxfId="206">
      <pivotArea dataOnly="0" labelOnly="1" fieldPosition="0">
        <references count="5">
          <reference field="0" count="1" selected="0">
            <x v="43"/>
          </reference>
          <reference field="1" count="1" selected="0">
            <x v="47"/>
          </reference>
          <reference field="8" count="1">
            <x v="0"/>
          </reference>
          <reference field="12" count="1" selected="0">
            <x v="21"/>
          </reference>
          <reference field="26" count="1" selected="0">
            <x v="11"/>
          </reference>
        </references>
      </pivotArea>
    </format>
    <format dxfId="205">
      <pivotArea dataOnly="0" labelOnly="1" fieldPosition="0">
        <references count="5">
          <reference field="0" count="1" selected="0">
            <x v="44"/>
          </reference>
          <reference field="1" count="1" selected="0">
            <x v="38"/>
          </reference>
          <reference field="8" count="1">
            <x v="0"/>
          </reference>
          <reference field="12" count="1" selected="0">
            <x v="29"/>
          </reference>
          <reference field="26" count="1" selected="0">
            <x v="6"/>
          </reference>
        </references>
      </pivotArea>
    </format>
    <format dxfId="204">
      <pivotArea dataOnly="0" labelOnly="1" fieldPosition="0">
        <references count="5">
          <reference field="0" count="1" selected="0">
            <x v="45"/>
          </reference>
          <reference field="1" count="1" selected="0">
            <x v="0"/>
          </reference>
          <reference field="8" count="1">
            <x v="1"/>
          </reference>
          <reference field="12" count="1" selected="0">
            <x v="27"/>
          </reference>
          <reference field="26" count="1" selected="0">
            <x v="19"/>
          </reference>
        </references>
      </pivotArea>
    </format>
    <format dxfId="203">
      <pivotArea dataOnly="0" labelOnly="1" fieldPosition="0">
        <references count="5">
          <reference field="0" count="1" selected="0">
            <x v="46"/>
          </reference>
          <reference field="1" count="1" selected="0">
            <x v="37"/>
          </reference>
          <reference field="8" count="1">
            <x v="0"/>
          </reference>
          <reference field="12" count="1" selected="0">
            <x v="33"/>
          </reference>
          <reference field="26" count="1" selected="0">
            <x v="14"/>
          </reference>
        </references>
      </pivotArea>
    </format>
    <format dxfId="202">
      <pivotArea dataOnly="0" labelOnly="1" fieldPosition="0">
        <references count="5">
          <reference field="0" count="1" selected="0">
            <x v="47"/>
          </reference>
          <reference field="1" count="1" selected="0">
            <x v="7"/>
          </reference>
          <reference field="8" count="1">
            <x v="0"/>
          </reference>
          <reference field="12" count="1" selected="0">
            <x v="40"/>
          </reference>
          <reference field="26" count="1" selected="0">
            <x v="43"/>
          </reference>
        </references>
      </pivotArea>
    </format>
    <format dxfId="201">
      <pivotArea dataOnly="0" labelOnly="1" fieldPosition="0">
        <references count="5">
          <reference field="0" count="1" selected="0">
            <x v="48"/>
          </reference>
          <reference field="1" count="1" selected="0">
            <x v="8"/>
          </reference>
          <reference field="8" count="1">
            <x v="1"/>
          </reference>
          <reference field="12" count="1" selected="0">
            <x v="26"/>
          </reference>
          <reference field="26" count="1" selected="0">
            <x v="33"/>
          </reference>
        </references>
      </pivotArea>
    </format>
    <format dxfId="200">
      <pivotArea dataOnly="0" labelOnly="1" fieldPosition="0">
        <references count="5">
          <reference field="0" count="1" selected="0">
            <x v="49"/>
          </reference>
          <reference field="1" count="1" selected="0">
            <x v="42"/>
          </reference>
          <reference field="8" count="1">
            <x v="1"/>
          </reference>
          <reference field="12" count="1" selected="0">
            <x v="39"/>
          </reference>
          <reference field="26" count="1" selected="0">
            <x v="39"/>
          </reference>
        </references>
      </pivotArea>
    </format>
    <format dxfId="199">
      <pivotArea dataOnly="0" labelOnly="1" fieldPosition="0">
        <references count="6">
          <reference field="0" count="1" selected="0">
            <x v="0"/>
          </reference>
          <reference field="1" count="1" selected="0">
            <x v="32"/>
          </reference>
          <reference field="6" count="1">
            <x v="47"/>
          </reference>
          <reference field="8" count="1" selected="0">
            <x v="0"/>
          </reference>
          <reference field="12" count="1" selected="0">
            <x v="0"/>
          </reference>
          <reference field="26" count="1" selected="0">
            <x v="43"/>
          </reference>
        </references>
      </pivotArea>
    </format>
    <format dxfId="198">
      <pivotArea dataOnly="0" labelOnly="1" fieldPosition="0">
        <references count="6">
          <reference field="0" count="1" selected="0">
            <x v="1"/>
          </reference>
          <reference field="1" count="1" selected="0">
            <x v="33"/>
          </reference>
          <reference field="6" count="1">
            <x v="41"/>
          </reference>
          <reference field="8" count="1" selected="0">
            <x v="0"/>
          </reference>
          <reference field="12" count="1" selected="0">
            <x v="18"/>
          </reference>
          <reference field="26" count="1" selected="0">
            <x v="38"/>
          </reference>
        </references>
      </pivotArea>
    </format>
    <format dxfId="197">
      <pivotArea dataOnly="0" labelOnly="1" fieldPosition="0">
        <references count="6">
          <reference field="0" count="1" selected="0">
            <x v="2"/>
          </reference>
          <reference field="1" count="1" selected="0">
            <x v="45"/>
          </reference>
          <reference field="6" count="1">
            <x v="13"/>
          </reference>
          <reference field="8" count="1" selected="0">
            <x v="1"/>
          </reference>
          <reference field="12" count="1" selected="0">
            <x v="10"/>
          </reference>
          <reference field="26" count="1" selected="0">
            <x v="15"/>
          </reference>
        </references>
      </pivotArea>
    </format>
    <format dxfId="196">
      <pivotArea dataOnly="0" labelOnly="1" fieldPosition="0">
        <references count="6">
          <reference field="0" count="1" selected="0">
            <x v="3"/>
          </reference>
          <reference field="1" count="1" selected="0">
            <x v="34"/>
          </reference>
          <reference field="6" count="1">
            <x v="23"/>
          </reference>
          <reference field="8" count="1" selected="0">
            <x v="0"/>
          </reference>
          <reference field="12" count="1" selected="0">
            <x v="7"/>
          </reference>
          <reference field="26" count="1" selected="0">
            <x v="21"/>
          </reference>
        </references>
      </pivotArea>
    </format>
    <format dxfId="195">
      <pivotArea dataOnly="0" labelOnly="1" fieldPosition="0">
        <references count="6">
          <reference field="0" count="1" selected="0">
            <x v="4"/>
          </reference>
          <reference field="1" count="1" selected="0">
            <x v="3"/>
          </reference>
          <reference field="6" count="1">
            <x v="15"/>
          </reference>
          <reference field="8" count="1" selected="0">
            <x v="1"/>
          </reference>
          <reference field="12" count="1" selected="0">
            <x v="5"/>
          </reference>
          <reference field="26" count="1" selected="0">
            <x v="16"/>
          </reference>
        </references>
      </pivotArea>
    </format>
    <format dxfId="194">
      <pivotArea dataOnly="0" labelOnly="1" fieldPosition="0">
        <references count="6">
          <reference field="0" count="1" selected="0">
            <x v="5"/>
          </reference>
          <reference field="1" count="1" selected="0">
            <x v="26"/>
          </reference>
          <reference field="6" count="1">
            <x v="42"/>
          </reference>
          <reference field="8" count="1" selected="0">
            <x v="1"/>
          </reference>
          <reference field="12" count="1" selected="0">
            <x v="19"/>
          </reference>
          <reference field="26" count="1" selected="0">
            <x v="38"/>
          </reference>
        </references>
      </pivotArea>
    </format>
    <format dxfId="193">
      <pivotArea dataOnly="0" labelOnly="1" fieldPosition="0">
        <references count="6">
          <reference field="0" count="1" selected="0">
            <x v="6"/>
          </reference>
          <reference field="1" count="1" selected="0">
            <x v="31"/>
          </reference>
          <reference field="6" count="1">
            <x v="48"/>
          </reference>
          <reference field="8" count="1" selected="0">
            <x v="0"/>
          </reference>
          <reference field="12" count="1" selected="0">
            <x v="9"/>
          </reference>
          <reference field="26" count="1" selected="0">
            <x v="45"/>
          </reference>
        </references>
      </pivotArea>
    </format>
    <format dxfId="192">
      <pivotArea dataOnly="0" labelOnly="1" fieldPosition="0">
        <references count="6">
          <reference field="0" count="1" selected="0">
            <x v="7"/>
          </reference>
          <reference field="1" count="1" selected="0">
            <x v="27"/>
          </reference>
          <reference field="6" count="1">
            <x v="6"/>
          </reference>
          <reference field="8" count="1" selected="0">
            <x v="1"/>
          </reference>
          <reference field="12" count="1" selected="0">
            <x v="30"/>
          </reference>
          <reference field="26" count="1" selected="0">
            <x v="9"/>
          </reference>
        </references>
      </pivotArea>
    </format>
    <format dxfId="191">
      <pivotArea dataOnly="0" labelOnly="1" fieldPosition="0">
        <references count="6">
          <reference field="0" count="1" selected="0">
            <x v="8"/>
          </reference>
          <reference field="1" count="1" selected="0">
            <x v="30"/>
          </reference>
          <reference field="6" count="1">
            <x v="18"/>
          </reference>
          <reference field="8" count="1" selected="0">
            <x v="0"/>
          </reference>
          <reference field="12" count="1" selected="0">
            <x v="41"/>
          </reference>
          <reference field="26" count="1" selected="0">
            <x v="17"/>
          </reference>
        </references>
      </pivotArea>
    </format>
    <format dxfId="190">
      <pivotArea dataOnly="0" labelOnly="1" fieldPosition="0">
        <references count="6">
          <reference field="0" count="1" selected="0">
            <x v="9"/>
          </reference>
          <reference field="1" count="1" selected="0">
            <x v="28"/>
          </reference>
          <reference field="6" count="1">
            <x v="8"/>
          </reference>
          <reference field="8" count="1" selected="0">
            <x v="1"/>
          </reference>
          <reference field="12" count="1" selected="0">
            <x v="38"/>
          </reference>
          <reference field="26" count="1" selected="0">
            <x v="10"/>
          </reference>
        </references>
      </pivotArea>
    </format>
    <format dxfId="189">
      <pivotArea dataOnly="0" labelOnly="1" fieldPosition="0">
        <references count="6">
          <reference field="0" count="1" selected="0">
            <x v="10"/>
          </reference>
          <reference field="1" count="1" selected="0">
            <x v="41"/>
          </reference>
          <reference field="6" count="1">
            <x v="36"/>
          </reference>
          <reference field="8" count="1" selected="0">
            <x v="1"/>
          </reference>
          <reference field="12" count="1" selected="0">
            <x v="23"/>
          </reference>
          <reference field="26" count="1" selected="0">
            <x v="32"/>
          </reference>
        </references>
      </pivotArea>
    </format>
    <format dxfId="188">
      <pivotArea dataOnly="0" labelOnly="1" fieldPosition="0">
        <references count="6">
          <reference field="0" count="1" selected="0">
            <x v="11"/>
          </reference>
          <reference field="1" count="1" selected="0">
            <x v="29"/>
          </reference>
          <reference field="6" count="1">
            <x v="27"/>
          </reference>
          <reference field="8" count="1" selected="0">
            <x v="0"/>
          </reference>
          <reference field="12" count="1" selected="0">
            <x v="49"/>
          </reference>
          <reference field="26" count="1" selected="0">
            <x v="23"/>
          </reference>
        </references>
      </pivotArea>
    </format>
    <format dxfId="187">
      <pivotArea dataOnly="0" labelOnly="1" fieldPosition="0">
        <references count="6">
          <reference field="0" count="1" selected="0">
            <x v="12"/>
          </reference>
          <reference field="1" count="1" selected="0">
            <x v="36"/>
          </reference>
          <reference field="6" count="1">
            <x v="25"/>
          </reference>
          <reference field="8" count="1" selected="0">
            <x v="0"/>
          </reference>
          <reference field="12" count="1" selected="0">
            <x v="37"/>
          </reference>
          <reference field="26" count="1" selected="0">
            <x v="23"/>
          </reference>
        </references>
      </pivotArea>
    </format>
    <format dxfId="186">
      <pivotArea dataOnly="0" labelOnly="1" fieldPosition="0">
        <references count="6">
          <reference field="0" count="1" selected="0">
            <x v="13"/>
          </reference>
          <reference field="1" count="1" selected="0">
            <x v="11"/>
          </reference>
          <reference field="6" count="1">
            <x v="2"/>
          </reference>
          <reference field="8" count="1" selected="0">
            <x v="1"/>
          </reference>
          <reference field="12" count="1" selected="0">
            <x v="47"/>
          </reference>
          <reference field="26" count="1" selected="0">
            <x v="5"/>
          </reference>
        </references>
      </pivotArea>
    </format>
    <format dxfId="185">
      <pivotArea dataOnly="0" labelOnly="1" fieldPosition="0">
        <references count="6">
          <reference field="0" count="1" selected="0">
            <x v="14"/>
          </reference>
          <reference field="1" count="1" selected="0">
            <x v="40"/>
          </reference>
          <reference field="6" count="1">
            <x v="9"/>
          </reference>
          <reference field="8" count="1" selected="0">
            <x v="0"/>
          </reference>
          <reference field="12" count="1" selected="0">
            <x v="36"/>
          </reference>
          <reference field="26" count="1" selected="0">
            <x v="11"/>
          </reference>
        </references>
      </pivotArea>
    </format>
    <format dxfId="184">
      <pivotArea dataOnly="0" labelOnly="1" fieldPosition="0">
        <references count="6">
          <reference field="0" count="1" selected="0">
            <x v="15"/>
          </reference>
          <reference field="1" count="1" selected="0">
            <x v="12"/>
          </reference>
          <reference field="6" count="1">
            <x v="14"/>
          </reference>
          <reference field="8" count="1" selected="0">
            <x v="1"/>
          </reference>
          <reference field="12" count="1" selected="0">
            <x v="4"/>
          </reference>
          <reference field="26" count="1" selected="0">
            <x v="15"/>
          </reference>
        </references>
      </pivotArea>
    </format>
    <format dxfId="183">
      <pivotArea dataOnly="0" labelOnly="1" fieldPosition="0">
        <references count="6">
          <reference field="0" count="1" selected="0">
            <x v="16"/>
          </reference>
          <reference field="1" count="1" selected="0">
            <x v="13"/>
          </reference>
          <reference field="6" count="1">
            <x v="19"/>
          </reference>
          <reference field="8" count="1" selected="0">
            <x v="1"/>
          </reference>
          <reference field="12" count="1" selected="0">
            <x v="42"/>
          </reference>
          <reference field="26" count="1" selected="0">
            <x v="18"/>
          </reference>
        </references>
      </pivotArea>
    </format>
    <format dxfId="182">
      <pivotArea dataOnly="0" labelOnly="1" fieldPosition="0">
        <references count="6">
          <reference field="0" count="1" selected="0">
            <x v="17"/>
          </reference>
          <reference field="1" count="1" selected="0">
            <x v="14"/>
          </reference>
          <reference field="6" count="1">
            <x v="3"/>
          </reference>
          <reference field="8" count="1" selected="0">
            <x v="1"/>
          </reference>
          <reference field="12" count="1" selected="0">
            <x v="44"/>
          </reference>
          <reference field="26" count="1" selected="0">
            <x v="5"/>
          </reference>
        </references>
      </pivotArea>
    </format>
    <format dxfId="181">
      <pivotArea dataOnly="0" labelOnly="1" fieldPosition="0">
        <references count="6">
          <reference field="0" count="1" selected="0">
            <x v="18"/>
          </reference>
          <reference field="1" count="1" selected="0">
            <x v="2"/>
          </reference>
          <reference field="6" count="1">
            <x v="26"/>
          </reference>
          <reference field="8" count="1" selected="0">
            <x v="0"/>
          </reference>
          <reference field="12" count="1" selected="0">
            <x v="31"/>
          </reference>
          <reference field="26" count="1" selected="0">
            <x v="23"/>
          </reference>
        </references>
      </pivotArea>
    </format>
    <format dxfId="180">
      <pivotArea dataOnly="0" labelOnly="1" fieldPosition="0">
        <references count="6">
          <reference field="0" count="1" selected="0">
            <x v="19"/>
          </reference>
          <reference field="1" count="1" selected="0">
            <x v="24"/>
          </reference>
          <reference field="6" count="1">
            <x v="24"/>
          </reference>
          <reference field="8" count="1" selected="0">
            <x v="1"/>
          </reference>
          <reference field="12" count="1" selected="0">
            <x v="12"/>
          </reference>
          <reference field="26" count="1" selected="0">
            <x v="22"/>
          </reference>
        </references>
      </pivotArea>
    </format>
    <format dxfId="179">
      <pivotArea dataOnly="0" labelOnly="1" fieldPosition="0">
        <references count="6">
          <reference field="0" count="1" selected="0">
            <x v="20"/>
          </reference>
          <reference field="1" count="1" selected="0">
            <x v="25"/>
          </reference>
          <reference field="6" count="1">
            <x v="45"/>
          </reference>
          <reference field="8" count="1" selected="0">
            <x v="1"/>
          </reference>
          <reference field="12" count="1" selected="0">
            <x v="35"/>
          </reference>
          <reference field="26" count="1" selected="0">
            <x v="42"/>
          </reference>
        </references>
      </pivotArea>
    </format>
    <format dxfId="178">
      <pivotArea dataOnly="0" labelOnly="1" fieldPosition="0">
        <references count="6">
          <reference field="0" count="1" selected="0">
            <x v="21"/>
          </reference>
          <reference field="1" count="1" selected="0">
            <x v="1"/>
          </reference>
          <reference field="6" count="1">
            <x v="7"/>
          </reference>
          <reference field="8" count="1" selected="0">
            <x v="0"/>
          </reference>
          <reference field="12" count="1" selected="0">
            <x v="25"/>
          </reference>
          <reference field="26" count="1" selected="0">
            <x v="10"/>
          </reference>
        </references>
      </pivotArea>
    </format>
    <format dxfId="177">
      <pivotArea dataOnly="0" labelOnly="1" fieldPosition="0">
        <references count="6">
          <reference field="0" count="1" selected="0">
            <x v="22"/>
          </reference>
          <reference field="1" count="1" selected="0">
            <x v="4"/>
          </reference>
          <reference field="6" count="1">
            <x v="1"/>
          </reference>
          <reference field="8" count="1" selected="0">
            <x v="0"/>
          </reference>
          <reference field="12" count="1" selected="0">
            <x v="46"/>
          </reference>
          <reference field="26" count="1" selected="0">
            <x v="1"/>
          </reference>
        </references>
      </pivotArea>
    </format>
    <format dxfId="176">
      <pivotArea dataOnly="0" labelOnly="1" fieldPosition="0">
        <references count="6">
          <reference field="0" count="1" selected="0">
            <x v="23"/>
          </reference>
          <reference field="1" count="1" selected="0">
            <x v="5"/>
          </reference>
          <reference field="6" count="1">
            <x v="49"/>
          </reference>
          <reference field="8" count="1" selected="0">
            <x v="0"/>
          </reference>
          <reference field="12" count="1" selected="0">
            <x v="3"/>
          </reference>
          <reference field="26" count="1" selected="0">
            <x v="45"/>
          </reference>
        </references>
      </pivotArea>
    </format>
    <format dxfId="175">
      <pivotArea dataOnly="0" labelOnly="1" fieldPosition="0">
        <references count="6">
          <reference field="0" count="1" selected="0">
            <x v="24"/>
          </reference>
          <reference field="1" count="1" selected="0">
            <x v="6"/>
          </reference>
          <reference field="6" count="1">
            <x v="11"/>
          </reference>
          <reference field="8" count="1" selected="0">
            <x v="0"/>
          </reference>
          <reference field="12" count="1" selected="0">
            <x v="1"/>
          </reference>
          <reference field="26" count="1" selected="0">
            <x v="12"/>
          </reference>
        </references>
      </pivotArea>
    </format>
    <format dxfId="174">
      <pivotArea dataOnly="0" labelOnly="1" fieldPosition="0">
        <references count="6">
          <reference field="0" count="1" selected="0">
            <x v="25"/>
          </reference>
          <reference field="1" count="1" selected="0">
            <x v="35"/>
          </reference>
          <reference field="6" count="1">
            <x v="28"/>
          </reference>
          <reference field="8" count="1" selected="0">
            <x v="0"/>
          </reference>
          <reference field="12" count="1" selected="0">
            <x v="34"/>
          </reference>
          <reference field="26" count="1" selected="0">
            <x v="24"/>
          </reference>
        </references>
      </pivotArea>
    </format>
    <format dxfId="173">
      <pivotArea dataOnly="0" labelOnly="1" fieldPosition="0">
        <references count="6">
          <reference field="0" count="1" selected="0">
            <x v="26"/>
          </reference>
          <reference field="1" count="1" selected="0">
            <x v="9"/>
          </reference>
          <reference field="6" count="1">
            <x v="16"/>
          </reference>
          <reference field="8" count="1" selected="0">
            <x v="1"/>
          </reference>
          <reference field="12" count="1" selected="0">
            <x v="48"/>
          </reference>
          <reference field="26" count="1" selected="0">
            <x v="16"/>
          </reference>
        </references>
      </pivotArea>
    </format>
    <format dxfId="172">
      <pivotArea dataOnly="0" labelOnly="1" fieldPosition="0">
        <references count="6">
          <reference field="0" count="1" selected="0">
            <x v="27"/>
          </reference>
          <reference field="1" count="1" selected="0">
            <x v="10"/>
          </reference>
          <reference field="6" count="1">
            <x v="32"/>
          </reference>
          <reference field="8" count="1" selected="0">
            <x v="1"/>
          </reference>
          <reference field="12" count="1" selected="0">
            <x v="14"/>
          </reference>
          <reference field="26" count="1" selected="0">
            <x v="28"/>
          </reference>
        </references>
      </pivotArea>
    </format>
    <format dxfId="171">
      <pivotArea dataOnly="0" labelOnly="1" fieldPosition="0">
        <references count="6">
          <reference field="0" count="1" selected="0">
            <x v="28"/>
          </reference>
          <reference field="1" count="1" selected="0">
            <x v="39"/>
          </reference>
          <reference field="6" count="1">
            <x v="44"/>
          </reference>
          <reference field="8" count="1" selected="0">
            <x v="0"/>
          </reference>
          <reference field="12" count="1" selected="0">
            <x v="32"/>
          </reference>
          <reference field="26" count="1" selected="0">
            <x v="40"/>
          </reference>
        </references>
      </pivotArea>
    </format>
    <format dxfId="170">
      <pivotArea dataOnly="0" labelOnly="1" fieldPosition="0">
        <references count="6">
          <reference field="0" count="1" selected="0">
            <x v="29"/>
          </reference>
          <reference field="1" count="1" selected="0">
            <x v="23"/>
          </reference>
          <reference field="6" count="1">
            <x v="29"/>
          </reference>
          <reference field="8" count="1" selected="0">
            <x v="0"/>
          </reference>
          <reference field="12" count="1" selected="0">
            <x v="22"/>
          </reference>
          <reference field="26" count="1" selected="0">
            <x v="25"/>
          </reference>
        </references>
      </pivotArea>
    </format>
    <format dxfId="169">
      <pivotArea dataOnly="0" labelOnly="1" fieldPosition="0">
        <references count="6">
          <reference field="0" count="1" selected="0">
            <x v="30"/>
          </reference>
          <reference field="1" count="1" selected="0">
            <x v="22"/>
          </reference>
          <reference field="6" count="1">
            <x v="39"/>
          </reference>
          <reference field="8" count="1" selected="0">
            <x v="0"/>
          </reference>
          <reference field="12" count="1" selected="0">
            <x v="8"/>
          </reference>
          <reference field="26" count="1" selected="0">
            <x v="35"/>
          </reference>
        </references>
      </pivotArea>
    </format>
    <format dxfId="168">
      <pivotArea dataOnly="0" labelOnly="1" fieldPosition="0">
        <references count="6">
          <reference field="0" count="1" selected="0">
            <x v="31"/>
          </reference>
          <reference field="1" count="1" selected="0">
            <x v="21"/>
          </reference>
          <reference field="6" count="1">
            <x v="17"/>
          </reference>
          <reference field="8" count="1" selected="0">
            <x v="0"/>
          </reference>
          <reference field="12" count="1" selected="0">
            <x v="6"/>
          </reference>
          <reference field="26" count="1" selected="0">
            <x v="16"/>
          </reference>
        </references>
      </pivotArea>
    </format>
    <format dxfId="167">
      <pivotArea dataOnly="0" labelOnly="1" fieldPosition="0">
        <references count="6">
          <reference field="0" count="1" selected="0">
            <x v="32"/>
          </reference>
          <reference field="1" count="1" selected="0">
            <x v="19"/>
          </reference>
          <reference field="6" count="1">
            <x v="30"/>
          </reference>
          <reference field="8" count="1" selected="0">
            <x v="1"/>
          </reference>
          <reference field="12" count="1" selected="0">
            <x v="45"/>
          </reference>
          <reference field="26" count="1" selected="0">
            <x v="26"/>
          </reference>
        </references>
      </pivotArea>
    </format>
    <format dxfId="166">
      <pivotArea dataOnly="0" labelOnly="1" fieldPosition="0">
        <references count="6">
          <reference field="0" count="1" selected="0">
            <x v="33"/>
          </reference>
          <reference field="1" count="1" selected="0">
            <x v="20"/>
          </reference>
          <reference field="6" count="1">
            <x v="31"/>
          </reference>
          <reference field="8" count="1" selected="0">
            <x v="1"/>
          </reference>
          <reference field="12" count="1" selected="0">
            <x v="17"/>
          </reference>
          <reference field="26" count="1" selected="0">
            <x v="27"/>
          </reference>
        </references>
      </pivotArea>
    </format>
    <format dxfId="165">
      <pivotArea dataOnly="0" labelOnly="1" fieldPosition="0">
        <references count="6">
          <reference field="0" count="1" selected="0">
            <x v="34"/>
          </reference>
          <reference field="1" count="1" selected="0">
            <x v="16"/>
          </reference>
          <reference field="6" count="1">
            <x v="0"/>
          </reference>
          <reference field="8" count="1" selected="0">
            <x v="1"/>
          </reference>
          <reference field="12" count="1" selected="0">
            <x v="16"/>
          </reference>
          <reference field="26" count="1" selected="0">
            <x v="1"/>
          </reference>
        </references>
      </pivotArea>
    </format>
    <format dxfId="164">
      <pivotArea dataOnly="0" labelOnly="1" fieldPosition="0">
        <references count="6">
          <reference field="0" count="1" selected="0">
            <x v="35"/>
          </reference>
          <reference field="1" count="1" selected="0">
            <x v="17"/>
          </reference>
          <reference field="6" count="1">
            <x v="22"/>
          </reference>
          <reference field="8" count="1" selected="0">
            <x v="1"/>
          </reference>
          <reference field="12" count="1" selected="0">
            <x v="15"/>
          </reference>
          <reference field="26" count="1" selected="0">
            <x v="21"/>
          </reference>
        </references>
      </pivotArea>
    </format>
    <format dxfId="163">
      <pivotArea dataOnly="0" labelOnly="1" fieldPosition="0">
        <references count="6">
          <reference field="0" count="1" selected="0">
            <x v="36"/>
          </reference>
          <reference field="1" count="1" selected="0">
            <x v="15"/>
          </reference>
          <reference field="6" count="1">
            <x v="35"/>
          </reference>
          <reference field="8" count="1" selected="0">
            <x v="1"/>
          </reference>
          <reference field="12" count="1" selected="0">
            <x v="20"/>
          </reference>
          <reference field="26" count="1" selected="0">
            <x v="32"/>
          </reference>
        </references>
      </pivotArea>
    </format>
    <format dxfId="162">
      <pivotArea dataOnly="0" labelOnly="1" fieldPosition="0">
        <references count="6">
          <reference field="0" count="1" selected="0">
            <x v="37"/>
          </reference>
          <reference field="1" count="1" selected="0">
            <x v="18"/>
          </reference>
          <reference field="6" count="1">
            <x v="33"/>
          </reference>
          <reference field="8" count="1" selected="0">
            <x v="1"/>
          </reference>
          <reference field="12" count="1" selected="0">
            <x v="13"/>
          </reference>
          <reference field="26" count="1" selected="0">
            <x v="29"/>
          </reference>
        </references>
      </pivotArea>
    </format>
    <format dxfId="161">
      <pivotArea dataOnly="0" labelOnly="1" fieldPosition="0">
        <references count="6">
          <reference field="0" count="1" selected="0">
            <x v="38"/>
          </reference>
          <reference field="1" count="1" selected="0">
            <x v="44"/>
          </reference>
          <reference field="6" count="1">
            <x v="34"/>
          </reference>
          <reference field="8" count="1" selected="0">
            <x v="1"/>
          </reference>
          <reference field="12" count="1" selected="0">
            <x v="43"/>
          </reference>
          <reference field="26" count="1" selected="0">
            <x v="30"/>
          </reference>
        </references>
      </pivotArea>
    </format>
    <format dxfId="160">
      <pivotArea dataOnly="0" labelOnly="1" fieldPosition="0">
        <references count="6">
          <reference field="0" count="1" selected="0">
            <x v="39"/>
          </reference>
          <reference field="1" count="1" selected="0">
            <x v="43"/>
          </reference>
          <reference field="6" count="1">
            <x v="38"/>
          </reference>
          <reference field="8" count="1" selected="0">
            <x v="1"/>
          </reference>
          <reference field="12" count="1" selected="0">
            <x v="28"/>
          </reference>
          <reference field="26" count="1" selected="0">
            <x v="34"/>
          </reference>
        </references>
      </pivotArea>
    </format>
    <format dxfId="159">
      <pivotArea dataOnly="0" labelOnly="1" fieldPosition="0">
        <references count="6">
          <reference field="0" count="1" selected="0">
            <x v="40"/>
          </reference>
          <reference field="1" count="1" selected="0">
            <x v="49"/>
          </reference>
          <reference field="6" count="1">
            <x v="21"/>
          </reference>
          <reference field="8" count="1" selected="0">
            <x v="0"/>
          </reference>
          <reference field="12" count="1" selected="0">
            <x v="24"/>
          </reference>
          <reference field="26" count="1" selected="0">
            <x v="20"/>
          </reference>
        </references>
      </pivotArea>
    </format>
    <format dxfId="158">
      <pivotArea dataOnly="0" labelOnly="1" fieldPosition="0">
        <references count="6">
          <reference field="0" count="1" selected="0">
            <x v="41"/>
          </reference>
          <reference field="1" count="1" selected="0">
            <x v="46"/>
          </reference>
          <reference field="6" count="1">
            <x v="40"/>
          </reference>
          <reference field="8" count="1" selected="0">
            <x v="0"/>
          </reference>
          <reference field="12" count="1" selected="0">
            <x v="11"/>
          </reference>
          <reference field="26" count="1" selected="0">
            <x v="36"/>
          </reference>
        </references>
      </pivotArea>
    </format>
    <format dxfId="157">
      <pivotArea dataOnly="0" labelOnly="1" fieldPosition="0">
        <references count="6">
          <reference field="0" count="1" selected="0">
            <x v="42"/>
          </reference>
          <reference field="1" count="1" selected="0">
            <x v="48"/>
          </reference>
          <reference field="6" count="1">
            <x v="4"/>
          </reference>
          <reference field="8" count="1" selected="0">
            <x v="0"/>
          </reference>
          <reference field="12" count="1" selected="0">
            <x v="2"/>
          </reference>
          <reference field="26" count="1" selected="0">
            <x v="6"/>
          </reference>
        </references>
      </pivotArea>
    </format>
    <format dxfId="156">
      <pivotArea dataOnly="0" labelOnly="1" fieldPosition="0">
        <references count="6">
          <reference field="0" count="1" selected="0">
            <x v="43"/>
          </reference>
          <reference field="1" count="1" selected="0">
            <x v="47"/>
          </reference>
          <reference field="6" count="1">
            <x v="10"/>
          </reference>
          <reference field="8" count="1" selected="0">
            <x v="0"/>
          </reference>
          <reference field="12" count="1" selected="0">
            <x v="21"/>
          </reference>
          <reference field="26" count="1" selected="0">
            <x v="11"/>
          </reference>
        </references>
      </pivotArea>
    </format>
    <format dxfId="155">
      <pivotArea dataOnly="0" labelOnly="1" fieldPosition="0">
        <references count="6">
          <reference field="0" count="1" selected="0">
            <x v="44"/>
          </reference>
          <reference field="1" count="1" selected="0">
            <x v="38"/>
          </reference>
          <reference field="6" count="1">
            <x v="5"/>
          </reference>
          <reference field="8" count="1" selected="0">
            <x v="0"/>
          </reference>
          <reference field="12" count="1" selected="0">
            <x v="29"/>
          </reference>
          <reference field="26" count="1" selected="0">
            <x v="6"/>
          </reference>
        </references>
      </pivotArea>
    </format>
    <format dxfId="154">
      <pivotArea dataOnly="0" labelOnly="1" fieldPosition="0">
        <references count="6">
          <reference field="0" count="1" selected="0">
            <x v="45"/>
          </reference>
          <reference field="1" count="1" selected="0">
            <x v="0"/>
          </reference>
          <reference field="6" count="1">
            <x v="20"/>
          </reference>
          <reference field="8" count="1" selected="0">
            <x v="1"/>
          </reference>
          <reference field="12" count="1" selected="0">
            <x v="27"/>
          </reference>
          <reference field="26" count="1" selected="0">
            <x v="19"/>
          </reference>
        </references>
      </pivotArea>
    </format>
    <format dxfId="153">
      <pivotArea dataOnly="0" labelOnly="1" fieldPosition="0">
        <references count="6">
          <reference field="0" count="1" selected="0">
            <x v="46"/>
          </reference>
          <reference field="1" count="1" selected="0">
            <x v="37"/>
          </reference>
          <reference field="6" count="1">
            <x v="12"/>
          </reference>
          <reference field="8" count="1" selected="0">
            <x v="0"/>
          </reference>
          <reference field="12" count="1" selected="0">
            <x v="33"/>
          </reference>
          <reference field="26" count="1" selected="0">
            <x v="14"/>
          </reference>
        </references>
      </pivotArea>
    </format>
    <format dxfId="152">
      <pivotArea dataOnly="0" labelOnly="1" fieldPosition="0">
        <references count="6">
          <reference field="0" count="1" selected="0">
            <x v="47"/>
          </reference>
          <reference field="1" count="1" selected="0">
            <x v="7"/>
          </reference>
          <reference field="6" count="1">
            <x v="46"/>
          </reference>
          <reference field="8" count="1" selected="0">
            <x v="0"/>
          </reference>
          <reference field="12" count="1" selected="0">
            <x v="40"/>
          </reference>
          <reference field="26" count="1" selected="0">
            <x v="43"/>
          </reference>
        </references>
      </pivotArea>
    </format>
    <format dxfId="151">
      <pivotArea dataOnly="0" labelOnly="1" fieldPosition="0">
        <references count="6">
          <reference field="0" count="1" selected="0">
            <x v="48"/>
          </reference>
          <reference field="1" count="1" selected="0">
            <x v="8"/>
          </reference>
          <reference field="6" count="1">
            <x v="37"/>
          </reference>
          <reference field="8" count="1" selected="0">
            <x v="1"/>
          </reference>
          <reference field="12" count="1" selected="0">
            <x v="26"/>
          </reference>
          <reference field="26" count="1" selected="0">
            <x v="33"/>
          </reference>
        </references>
      </pivotArea>
    </format>
    <format dxfId="150">
      <pivotArea dataOnly="0" labelOnly="1" fieldPosition="0">
        <references count="6">
          <reference field="0" count="1" selected="0">
            <x v="49"/>
          </reference>
          <reference field="1" count="1" selected="0">
            <x v="42"/>
          </reference>
          <reference field="6" count="1">
            <x v="43"/>
          </reference>
          <reference field="8" count="1" selected="0">
            <x v="1"/>
          </reference>
          <reference field="12" count="1" selected="0">
            <x v="39"/>
          </reference>
          <reference field="26" count="1" selected="0">
            <x v="39"/>
          </reference>
        </references>
      </pivotArea>
    </format>
    <format dxfId="149">
      <pivotArea dataOnly="0" labelOnly="1" fieldPosition="0">
        <references count="7">
          <reference field="0" count="1" selected="0">
            <x v="0"/>
          </reference>
          <reference field="1" count="1" selected="0">
            <x v="32"/>
          </reference>
          <reference field="6" count="1" selected="0">
            <x v="47"/>
          </reference>
          <reference field="8" count="1" selected="0">
            <x v="0"/>
          </reference>
          <reference field="11" count="1">
            <x v="1"/>
          </reference>
          <reference field="12" count="1" selected="0">
            <x v="0"/>
          </reference>
          <reference field="26" count="1" selected="0">
            <x v="43"/>
          </reference>
        </references>
      </pivotArea>
    </format>
    <format dxfId="148">
      <pivotArea dataOnly="0" labelOnly="1" fieldPosition="0">
        <references count="7">
          <reference field="0" count="1" selected="0">
            <x v="1"/>
          </reference>
          <reference field="1" count="1" selected="0">
            <x v="33"/>
          </reference>
          <reference field="6" count="1" selected="0">
            <x v="41"/>
          </reference>
          <reference field="8" count="1" selected="0">
            <x v="0"/>
          </reference>
          <reference field="11" count="1">
            <x v="1"/>
          </reference>
          <reference field="12" count="1" selected="0">
            <x v="18"/>
          </reference>
          <reference field="26" count="1" selected="0">
            <x v="38"/>
          </reference>
        </references>
      </pivotArea>
    </format>
    <format dxfId="147">
      <pivotArea dataOnly="0" labelOnly="1" fieldPosition="0">
        <references count="7">
          <reference field="0" count="1" selected="0">
            <x v="2"/>
          </reference>
          <reference field="1" count="1" selected="0">
            <x v="45"/>
          </reference>
          <reference field="6" count="1" selected="0">
            <x v="13"/>
          </reference>
          <reference field="8" count="1" selected="0">
            <x v="1"/>
          </reference>
          <reference field="11" count="1">
            <x v="4"/>
          </reference>
          <reference field="12" count="1" selected="0">
            <x v="10"/>
          </reference>
          <reference field="26" count="1" selected="0">
            <x v="15"/>
          </reference>
        </references>
      </pivotArea>
    </format>
    <format dxfId="146">
      <pivotArea dataOnly="0" labelOnly="1" fieldPosition="0">
        <references count="7">
          <reference field="0" count="1" selected="0">
            <x v="3"/>
          </reference>
          <reference field="1" count="1" selected="0">
            <x v="34"/>
          </reference>
          <reference field="6" count="1" selected="0">
            <x v="23"/>
          </reference>
          <reference field="8" count="1" selected="0">
            <x v="0"/>
          </reference>
          <reference field="11" count="1">
            <x v="1"/>
          </reference>
          <reference field="12" count="1" selected="0">
            <x v="7"/>
          </reference>
          <reference field="26" count="1" selected="0">
            <x v="21"/>
          </reference>
        </references>
      </pivotArea>
    </format>
    <format dxfId="145">
      <pivotArea dataOnly="0" labelOnly="1" fieldPosition="0">
        <references count="7">
          <reference field="0" count="1" selected="0">
            <x v="4"/>
          </reference>
          <reference field="1" count="1" selected="0">
            <x v="3"/>
          </reference>
          <reference field="6" count="1" selected="0">
            <x v="15"/>
          </reference>
          <reference field="8" count="1" selected="0">
            <x v="1"/>
          </reference>
          <reference field="11" count="1">
            <x v="1"/>
          </reference>
          <reference field="12" count="1" selected="0">
            <x v="5"/>
          </reference>
          <reference field="26" count="1" selected="0">
            <x v="16"/>
          </reference>
        </references>
      </pivotArea>
    </format>
    <format dxfId="144">
      <pivotArea dataOnly="0" labelOnly="1" fieldPosition="0">
        <references count="7">
          <reference field="0" count="1" selected="0">
            <x v="5"/>
          </reference>
          <reference field="1" count="1" selected="0">
            <x v="26"/>
          </reference>
          <reference field="6" count="1" selected="0">
            <x v="42"/>
          </reference>
          <reference field="8" count="1" selected="0">
            <x v="1"/>
          </reference>
          <reference field="11" count="1">
            <x v="1"/>
          </reference>
          <reference field="12" count="1" selected="0">
            <x v="19"/>
          </reference>
          <reference field="26" count="1" selected="0">
            <x v="38"/>
          </reference>
        </references>
      </pivotArea>
    </format>
    <format dxfId="143">
      <pivotArea dataOnly="0" labelOnly="1" fieldPosition="0">
        <references count="7">
          <reference field="0" count="1" selected="0">
            <x v="6"/>
          </reference>
          <reference field="1" count="1" selected="0">
            <x v="31"/>
          </reference>
          <reference field="6" count="1" selected="0">
            <x v="48"/>
          </reference>
          <reference field="8" count="1" selected="0">
            <x v="0"/>
          </reference>
          <reference field="11" count="1">
            <x v="1"/>
          </reference>
          <reference field="12" count="1" selected="0">
            <x v="9"/>
          </reference>
          <reference field="26" count="1" selected="0">
            <x v="45"/>
          </reference>
        </references>
      </pivotArea>
    </format>
    <format dxfId="142">
      <pivotArea dataOnly="0" labelOnly="1" fieldPosition="0">
        <references count="7">
          <reference field="0" count="1" selected="0">
            <x v="7"/>
          </reference>
          <reference field="1" count="1" selected="0">
            <x v="27"/>
          </reference>
          <reference field="6" count="1" selected="0">
            <x v="6"/>
          </reference>
          <reference field="8" count="1" selected="0">
            <x v="1"/>
          </reference>
          <reference field="11" count="1">
            <x v="1"/>
          </reference>
          <reference field="12" count="1" selected="0">
            <x v="30"/>
          </reference>
          <reference field="26" count="1" selected="0">
            <x v="9"/>
          </reference>
        </references>
      </pivotArea>
    </format>
    <format dxfId="141">
      <pivotArea dataOnly="0" labelOnly="1" fieldPosition="0">
        <references count="7">
          <reference field="0" count="1" selected="0">
            <x v="8"/>
          </reference>
          <reference field="1" count="1" selected="0">
            <x v="30"/>
          </reference>
          <reference field="6" count="1" selected="0">
            <x v="18"/>
          </reference>
          <reference field="8" count="1" selected="0">
            <x v="0"/>
          </reference>
          <reference field="11" count="1">
            <x v="1"/>
          </reference>
          <reference field="12" count="1" selected="0">
            <x v="41"/>
          </reference>
          <reference field="26" count="1" selected="0">
            <x v="17"/>
          </reference>
        </references>
      </pivotArea>
    </format>
    <format dxfId="140">
      <pivotArea dataOnly="0" labelOnly="1" fieldPosition="0">
        <references count="7">
          <reference field="0" count="1" selected="0">
            <x v="9"/>
          </reference>
          <reference field="1" count="1" selected="0">
            <x v="28"/>
          </reference>
          <reference field="6" count="1" selected="0">
            <x v="8"/>
          </reference>
          <reference field="8" count="1" selected="0">
            <x v="1"/>
          </reference>
          <reference field="11" count="1">
            <x v="1"/>
          </reference>
          <reference field="12" count="1" selected="0">
            <x v="38"/>
          </reference>
          <reference field="26" count="1" selected="0">
            <x v="10"/>
          </reference>
        </references>
      </pivotArea>
    </format>
    <format dxfId="139">
      <pivotArea dataOnly="0" labelOnly="1" fieldPosition="0">
        <references count="7">
          <reference field="0" count="1" selected="0">
            <x v="10"/>
          </reference>
          <reference field="1" count="1" selected="0">
            <x v="41"/>
          </reference>
          <reference field="6" count="1" selected="0">
            <x v="36"/>
          </reference>
          <reference field="8" count="1" selected="0">
            <x v="1"/>
          </reference>
          <reference field="11" count="1">
            <x v="1"/>
          </reference>
          <reference field="12" count="1" selected="0">
            <x v="23"/>
          </reference>
          <reference field="26" count="1" selected="0">
            <x v="32"/>
          </reference>
        </references>
      </pivotArea>
    </format>
    <format dxfId="138">
      <pivotArea dataOnly="0" labelOnly="1" fieldPosition="0">
        <references count="7">
          <reference field="0" count="1" selected="0">
            <x v="11"/>
          </reference>
          <reference field="1" count="1" selected="0">
            <x v="29"/>
          </reference>
          <reference field="6" count="1" selected="0">
            <x v="27"/>
          </reference>
          <reference field="8" count="1" selected="0">
            <x v="0"/>
          </reference>
          <reference field="11" count="1">
            <x v="1"/>
          </reference>
          <reference field="12" count="1" selected="0">
            <x v="49"/>
          </reference>
          <reference field="26" count="1" selected="0">
            <x v="23"/>
          </reference>
        </references>
      </pivotArea>
    </format>
    <format dxfId="137">
      <pivotArea dataOnly="0" labelOnly="1" fieldPosition="0">
        <references count="7">
          <reference field="0" count="1" selected="0">
            <x v="12"/>
          </reference>
          <reference field="1" count="1" selected="0">
            <x v="36"/>
          </reference>
          <reference field="6" count="1" selected="0">
            <x v="25"/>
          </reference>
          <reference field="8" count="1" selected="0">
            <x v="0"/>
          </reference>
          <reference field="11" count="1">
            <x v="1"/>
          </reference>
          <reference field="12" count="1" selected="0">
            <x v="37"/>
          </reference>
          <reference field="26" count="1" selected="0">
            <x v="23"/>
          </reference>
        </references>
      </pivotArea>
    </format>
    <format dxfId="136">
      <pivotArea dataOnly="0" labelOnly="1" fieldPosition="0">
        <references count="7">
          <reference field="0" count="1" selected="0">
            <x v="13"/>
          </reference>
          <reference field="1" count="1" selected="0">
            <x v="11"/>
          </reference>
          <reference field="6" count="1" selected="0">
            <x v="2"/>
          </reference>
          <reference field="8" count="1" selected="0">
            <x v="1"/>
          </reference>
          <reference field="11" count="1">
            <x v="3"/>
          </reference>
          <reference field="12" count="1" selected="0">
            <x v="47"/>
          </reference>
          <reference field="26" count="1" selected="0">
            <x v="5"/>
          </reference>
        </references>
      </pivotArea>
    </format>
    <format dxfId="135">
      <pivotArea dataOnly="0" labelOnly="1" fieldPosition="0">
        <references count="7">
          <reference field="0" count="1" selected="0">
            <x v="14"/>
          </reference>
          <reference field="1" count="1" selected="0">
            <x v="40"/>
          </reference>
          <reference field="6" count="1" selected="0">
            <x v="9"/>
          </reference>
          <reference field="8" count="1" selected="0">
            <x v="0"/>
          </reference>
          <reference field="11" count="1">
            <x v="3"/>
          </reference>
          <reference field="12" count="1" selected="0">
            <x v="36"/>
          </reference>
          <reference field="26" count="1" selected="0">
            <x v="11"/>
          </reference>
        </references>
      </pivotArea>
    </format>
    <format dxfId="134">
      <pivotArea dataOnly="0" labelOnly="1" fieldPosition="0">
        <references count="7">
          <reference field="0" count="1" selected="0">
            <x v="15"/>
          </reference>
          <reference field="1" count="1" selected="0">
            <x v="12"/>
          </reference>
          <reference field="6" count="1" selected="0">
            <x v="14"/>
          </reference>
          <reference field="8" count="1" selected="0">
            <x v="1"/>
          </reference>
          <reference field="11" count="1">
            <x v="3"/>
          </reference>
          <reference field="12" count="1" selected="0">
            <x v="4"/>
          </reference>
          <reference field="26" count="1" selected="0">
            <x v="15"/>
          </reference>
        </references>
      </pivotArea>
    </format>
    <format dxfId="133">
      <pivotArea dataOnly="0" labelOnly="1" fieldPosition="0">
        <references count="7">
          <reference field="0" count="1" selected="0">
            <x v="16"/>
          </reference>
          <reference field="1" count="1" selected="0">
            <x v="13"/>
          </reference>
          <reference field="6" count="1" selected="0">
            <x v="19"/>
          </reference>
          <reference field="8" count="1" selected="0">
            <x v="1"/>
          </reference>
          <reference field="11" count="1">
            <x v="3"/>
          </reference>
          <reference field="12" count="1" selected="0">
            <x v="42"/>
          </reference>
          <reference field="26" count="1" selected="0">
            <x v="18"/>
          </reference>
        </references>
      </pivotArea>
    </format>
    <format dxfId="132">
      <pivotArea dataOnly="0" labelOnly="1" fieldPosition="0">
        <references count="7">
          <reference field="0" count="1" selected="0">
            <x v="17"/>
          </reference>
          <reference field="1" count="1" selected="0">
            <x v="14"/>
          </reference>
          <reference field="6" count="1" selected="0">
            <x v="3"/>
          </reference>
          <reference field="8" count="1" selected="0">
            <x v="1"/>
          </reference>
          <reference field="11" count="1">
            <x v="3"/>
          </reference>
          <reference field="12" count="1" selected="0">
            <x v="44"/>
          </reference>
          <reference field="26" count="1" selected="0">
            <x v="5"/>
          </reference>
        </references>
      </pivotArea>
    </format>
    <format dxfId="131">
      <pivotArea dataOnly="0" labelOnly="1" fieldPosition="0">
        <references count="7">
          <reference field="0" count="1" selected="0">
            <x v="18"/>
          </reference>
          <reference field="1" count="1" selected="0">
            <x v="2"/>
          </reference>
          <reference field="6" count="1" selected="0">
            <x v="26"/>
          </reference>
          <reference field="8" count="1" selected="0">
            <x v="0"/>
          </reference>
          <reference field="11" count="1">
            <x v="1"/>
          </reference>
          <reference field="12" count="1" selected="0">
            <x v="31"/>
          </reference>
          <reference field="26" count="1" selected="0">
            <x v="23"/>
          </reference>
        </references>
      </pivotArea>
    </format>
    <format dxfId="130">
      <pivotArea dataOnly="0" labelOnly="1" fieldPosition="0">
        <references count="7">
          <reference field="0" count="1" selected="0">
            <x v="19"/>
          </reference>
          <reference field="1" count="1" selected="0">
            <x v="24"/>
          </reference>
          <reference field="6" count="1" selected="0">
            <x v="24"/>
          </reference>
          <reference field="8" count="1" selected="0">
            <x v="1"/>
          </reference>
          <reference field="11" count="1">
            <x v="1"/>
          </reference>
          <reference field="12" count="1" selected="0">
            <x v="12"/>
          </reference>
          <reference field="26" count="1" selected="0">
            <x v="22"/>
          </reference>
        </references>
      </pivotArea>
    </format>
    <format dxfId="129">
      <pivotArea dataOnly="0" labelOnly="1" fieldPosition="0">
        <references count="7">
          <reference field="0" count="1" selected="0">
            <x v="20"/>
          </reference>
          <reference field="1" count="1" selected="0">
            <x v="25"/>
          </reference>
          <reference field="6" count="1" selected="0">
            <x v="45"/>
          </reference>
          <reference field="8" count="1" selected="0">
            <x v="1"/>
          </reference>
          <reference field="11" count="1">
            <x v="1"/>
          </reference>
          <reference field="12" count="1" selected="0">
            <x v="35"/>
          </reference>
          <reference field="26" count="1" selected="0">
            <x v="42"/>
          </reference>
        </references>
      </pivotArea>
    </format>
    <format dxfId="128">
      <pivotArea dataOnly="0" labelOnly="1" fieldPosition="0">
        <references count="7">
          <reference field="0" count="1" selected="0">
            <x v="21"/>
          </reference>
          <reference field="1" count="1" selected="0">
            <x v="1"/>
          </reference>
          <reference field="6" count="1" selected="0">
            <x v="7"/>
          </reference>
          <reference field="8" count="1" selected="0">
            <x v="0"/>
          </reference>
          <reference field="11" count="1">
            <x v="1"/>
          </reference>
          <reference field="12" count="1" selected="0">
            <x v="25"/>
          </reference>
          <reference field="26" count="1" selected="0">
            <x v="10"/>
          </reference>
        </references>
      </pivotArea>
    </format>
    <format dxfId="127">
      <pivotArea dataOnly="0" labelOnly="1" fieldPosition="0">
        <references count="7">
          <reference field="0" count="1" selected="0">
            <x v="22"/>
          </reference>
          <reference field="1" count="1" selected="0">
            <x v="4"/>
          </reference>
          <reference field="6" count="1" selected="0">
            <x v="1"/>
          </reference>
          <reference field="8" count="1" selected="0">
            <x v="0"/>
          </reference>
          <reference field="11" count="1">
            <x v="1"/>
          </reference>
          <reference field="12" count="1" selected="0">
            <x v="46"/>
          </reference>
          <reference field="26" count="1" selected="0">
            <x v="1"/>
          </reference>
        </references>
      </pivotArea>
    </format>
    <format dxfId="126">
      <pivotArea dataOnly="0" labelOnly="1" fieldPosition="0">
        <references count="7">
          <reference field="0" count="1" selected="0">
            <x v="23"/>
          </reference>
          <reference field="1" count="1" selected="0">
            <x v="5"/>
          </reference>
          <reference field="6" count="1" selected="0">
            <x v="49"/>
          </reference>
          <reference field="8" count="1" selected="0">
            <x v="0"/>
          </reference>
          <reference field="11" count="1">
            <x v="1"/>
          </reference>
          <reference field="12" count="1" selected="0">
            <x v="3"/>
          </reference>
          <reference field="26" count="1" selected="0">
            <x v="45"/>
          </reference>
        </references>
      </pivotArea>
    </format>
    <format dxfId="125">
      <pivotArea dataOnly="0" labelOnly="1" fieldPosition="0">
        <references count="7">
          <reference field="0" count="1" selected="0">
            <x v="24"/>
          </reference>
          <reference field="1" count="1" selected="0">
            <x v="6"/>
          </reference>
          <reference field="6" count="1" selected="0">
            <x v="11"/>
          </reference>
          <reference field="8" count="1" selected="0">
            <x v="0"/>
          </reference>
          <reference field="11" count="1">
            <x v="1"/>
          </reference>
          <reference field="12" count="1" selected="0">
            <x v="1"/>
          </reference>
          <reference field="26" count="1" selected="0">
            <x v="12"/>
          </reference>
        </references>
      </pivotArea>
    </format>
    <format dxfId="124">
      <pivotArea dataOnly="0" labelOnly="1" fieldPosition="0">
        <references count="7">
          <reference field="0" count="1" selected="0">
            <x v="25"/>
          </reference>
          <reference field="1" count="1" selected="0">
            <x v="35"/>
          </reference>
          <reference field="6" count="1" selected="0">
            <x v="28"/>
          </reference>
          <reference field="8" count="1" selected="0">
            <x v="0"/>
          </reference>
          <reference field="11" count="1">
            <x v="1"/>
          </reference>
          <reference field="12" count="1" selected="0">
            <x v="34"/>
          </reference>
          <reference field="26" count="1" selected="0">
            <x v="24"/>
          </reference>
        </references>
      </pivotArea>
    </format>
    <format dxfId="123">
      <pivotArea dataOnly="0" labelOnly="1" fieldPosition="0">
        <references count="7">
          <reference field="0" count="1" selected="0">
            <x v="26"/>
          </reference>
          <reference field="1" count="1" selected="0">
            <x v="9"/>
          </reference>
          <reference field="6" count="1" selected="0">
            <x v="16"/>
          </reference>
          <reference field="8" count="1" selected="0">
            <x v="1"/>
          </reference>
          <reference field="11" count="1">
            <x v="3"/>
          </reference>
          <reference field="12" count="1" selected="0">
            <x v="48"/>
          </reference>
          <reference field="26" count="1" selected="0">
            <x v="16"/>
          </reference>
        </references>
      </pivotArea>
    </format>
    <format dxfId="122">
      <pivotArea dataOnly="0" labelOnly="1" fieldPosition="0">
        <references count="7">
          <reference field="0" count="1" selected="0">
            <x v="27"/>
          </reference>
          <reference field="1" count="1" selected="0">
            <x v="10"/>
          </reference>
          <reference field="6" count="1" selected="0">
            <x v="32"/>
          </reference>
          <reference field="8" count="1" selected="0">
            <x v="1"/>
          </reference>
          <reference field="11" count="1">
            <x v="3"/>
          </reference>
          <reference field="12" count="1" selected="0">
            <x v="14"/>
          </reference>
          <reference field="26" count="1" selected="0">
            <x v="28"/>
          </reference>
        </references>
      </pivotArea>
    </format>
    <format dxfId="121">
      <pivotArea dataOnly="0" labelOnly="1" fieldPosition="0">
        <references count="7">
          <reference field="0" count="1" selected="0">
            <x v="28"/>
          </reference>
          <reference field="1" count="1" selected="0">
            <x v="39"/>
          </reference>
          <reference field="6" count="1" selected="0">
            <x v="44"/>
          </reference>
          <reference field="8" count="1" selected="0">
            <x v="0"/>
          </reference>
          <reference field="11" count="1">
            <x v="3"/>
          </reference>
          <reference field="12" count="1" selected="0">
            <x v="32"/>
          </reference>
          <reference field="26" count="1" selected="0">
            <x v="40"/>
          </reference>
        </references>
      </pivotArea>
    </format>
    <format dxfId="120">
      <pivotArea dataOnly="0" labelOnly="1" fieldPosition="0">
        <references count="7">
          <reference field="0" count="1" selected="0">
            <x v="29"/>
          </reference>
          <reference field="1" count="1" selected="0">
            <x v="23"/>
          </reference>
          <reference field="6" count="1" selected="0">
            <x v="29"/>
          </reference>
          <reference field="8" count="1" selected="0">
            <x v="0"/>
          </reference>
          <reference field="11" count="1">
            <x v="2"/>
          </reference>
          <reference field="12" count="1" selected="0">
            <x v="22"/>
          </reference>
          <reference field="26" count="1" selected="0">
            <x v="25"/>
          </reference>
        </references>
      </pivotArea>
    </format>
    <format dxfId="119">
      <pivotArea dataOnly="0" labelOnly="1" fieldPosition="0">
        <references count="7">
          <reference field="0" count="1" selected="0">
            <x v="30"/>
          </reference>
          <reference field="1" count="1" selected="0">
            <x v="22"/>
          </reference>
          <reference field="6" count="1" selected="0">
            <x v="39"/>
          </reference>
          <reference field="8" count="1" selected="0">
            <x v="0"/>
          </reference>
          <reference field="11" count="1">
            <x v="2"/>
          </reference>
          <reference field="12" count="1" selected="0">
            <x v="8"/>
          </reference>
          <reference field="26" count="1" selected="0">
            <x v="35"/>
          </reference>
        </references>
      </pivotArea>
    </format>
    <format dxfId="118">
      <pivotArea dataOnly="0" labelOnly="1" fieldPosition="0">
        <references count="7">
          <reference field="0" count="1" selected="0">
            <x v="31"/>
          </reference>
          <reference field="1" count="1" selected="0">
            <x v="21"/>
          </reference>
          <reference field="6" count="1" selected="0">
            <x v="17"/>
          </reference>
          <reference field="8" count="1" selected="0">
            <x v="0"/>
          </reference>
          <reference field="11" count="1">
            <x v="2"/>
          </reference>
          <reference field="12" count="1" selected="0">
            <x v="6"/>
          </reference>
          <reference field="26" count="1" selected="0">
            <x v="16"/>
          </reference>
        </references>
      </pivotArea>
    </format>
    <format dxfId="117">
      <pivotArea dataOnly="0" labelOnly="1" fieldPosition="0">
        <references count="7">
          <reference field="0" count="1" selected="0">
            <x v="32"/>
          </reference>
          <reference field="1" count="1" selected="0">
            <x v="19"/>
          </reference>
          <reference field="6" count="1" selected="0">
            <x v="30"/>
          </reference>
          <reference field="8" count="1" selected="0">
            <x v="1"/>
          </reference>
          <reference field="11" count="1">
            <x v="2"/>
          </reference>
          <reference field="12" count="1" selected="0">
            <x v="45"/>
          </reference>
          <reference field="26" count="1" selected="0">
            <x v="26"/>
          </reference>
        </references>
      </pivotArea>
    </format>
    <format dxfId="116">
      <pivotArea dataOnly="0" labelOnly="1" fieldPosition="0">
        <references count="7">
          <reference field="0" count="1" selected="0">
            <x v="33"/>
          </reference>
          <reference field="1" count="1" selected="0">
            <x v="20"/>
          </reference>
          <reference field="6" count="1" selected="0">
            <x v="31"/>
          </reference>
          <reference field="8" count="1" selected="0">
            <x v="1"/>
          </reference>
          <reference field="11" count="1">
            <x v="2"/>
          </reference>
          <reference field="12" count="1" selected="0">
            <x v="17"/>
          </reference>
          <reference field="26" count="1" selected="0">
            <x v="27"/>
          </reference>
        </references>
      </pivotArea>
    </format>
    <format dxfId="115">
      <pivotArea dataOnly="0" labelOnly="1" fieldPosition="0">
        <references count="7">
          <reference field="0" count="1" selected="0">
            <x v="34"/>
          </reference>
          <reference field="1" count="1" selected="0">
            <x v="16"/>
          </reference>
          <reference field="6" count="1" selected="0">
            <x v="0"/>
          </reference>
          <reference field="8" count="1" selected="0">
            <x v="1"/>
          </reference>
          <reference field="11" count="1">
            <x v="2"/>
          </reference>
          <reference field="12" count="1" selected="0">
            <x v="16"/>
          </reference>
          <reference field="26" count="1" selected="0">
            <x v="1"/>
          </reference>
        </references>
      </pivotArea>
    </format>
    <format dxfId="114">
      <pivotArea dataOnly="0" labelOnly="1" fieldPosition="0">
        <references count="7">
          <reference field="0" count="1" selected="0">
            <x v="35"/>
          </reference>
          <reference field="1" count="1" selected="0">
            <x v="17"/>
          </reference>
          <reference field="6" count="1" selected="0">
            <x v="22"/>
          </reference>
          <reference field="8" count="1" selected="0">
            <x v="1"/>
          </reference>
          <reference field="11" count="1">
            <x v="2"/>
          </reference>
          <reference field="12" count="1" selected="0">
            <x v="15"/>
          </reference>
          <reference field="26" count="1" selected="0">
            <x v="21"/>
          </reference>
        </references>
      </pivotArea>
    </format>
    <format dxfId="113">
      <pivotArea dataOnly="0" labelOnly="1" fieldPosition="0">
        <references count="7">
          <reference field="0" count="1" selected="0">
            <x v="36"/>
          </reference>
          <reference field="1" count="1" selected="0">
            <x v="15"/>
          </reference>
          <reference field="6" count="1" selected="0">
            <x v="35"/>
          </reference>
          <reference field="8" count="1" selected="0">
            <x v="1"/>
          </reference>
          <reference field="11" count="1">
            <x v="2"/>
          </reference>
          <reference field="12" count="1" selected="0">
            <x v="20"/>
          </reference>
          <reference field="26" count="1" selected="0">
            <x v="32"/>
          </reference>
        </references>
      </pivotArea>
    </format>
    <format dxfId="112">
      <pivotArea dataOnly="0" labelOnly="1" fieldPosition="0">
        <references count="7">
          <reference field="0" count="1" selected="0">
            <x v="37"/>
          </reference>
          <reference field="1" count="1" selected="0">
            <x v="18"/>
          </reference>
          <reference field="6" count="1" selected="0">
            <x v="33"/>
          </reference>
          <reference field="8" count="1" selected="0">
            <x v="1"/>
          </reference>
          <reference field="11" count="1">
            <x v="2"/>
          </reference>
          <reference field="12" count="1" selected="0">
            <x v="13"/>
          </reference>
          <reference field="26" count="1" selected="0">
            <x v="29"/>
          </reference>
        </references>
      </pivotArea>
    </format>
    <format dxfId="111">
      <pivotArea dataOnly="0" labelOnly="1" fieldPosition="0">
        <references count="7">
          <reference field="0" count="1" selected="0">
            <x v="38"/>
          </reference>
          <reference field="1" count="1" selected="0">
            <x v="44"/>
          </reference>
          <reference field="6" count="1" selected="0">
            <x v="34"/>
          </reference>
          <reference field="8" count="1" selected="0">
            <x v="1"/>
          </reference>
          <reference field="11" count="1">
            <x v="5"/>
          </reference>
          <reference field="12" count="1" selected="0">
            <x v="43"/>
          </reference>
          <reference field="26" count="1" selected="0">
            <x v="30"/>
          </reference>
        </references>
      </pivotArea>
    </format>
    <format dxfId="110">
      <pivotArea dataOnly="0" labelOnly="1" fieldPosition="0">
        <references count="7">
          <reference field="0" count="1" selected="0">
            <x v="39"/>
          </reference>
          <reference field="1" count="1" selected="0">
            <x v="43"/>
          </reference>
          <reference field="6" count="1" selected="0">
            <x v="38"/>
          </reference>
          <reference field="8" count="1" selected="0">
            <x v="1"/>
          </reference>
          <reference field="11" count="1">
            <x v="5"/>
          </reference>
          <reference field="12" count="1" selected="0">
            <x v="28"/>
          </reference>
          <reference field="26" count="1" selected="0">
            <x v="34"/>
          </reference>
        </references>
      </pivotArea>
    </format>
    <format dxfId="109">
      <pivotArea dataOnly="0" labelOnly="1" fieldPosition="0">
        <references count="7">
          <reference field="0" count="1" selected="0">
            <x v="40"/>
          </reference>
          <reference field="1" count="1" selected="0">
            <x v="49"/>
          </reference>
          <reference field="6" count="1" selected="0">
            <x v="21"/>
          </reference>
          <reference field="8" count="1" selected="0">
            <x v="0"/>
          </reference>
          <reference field="11" count="1">
            <x v="5"/>
          </reference>
          <reference field="12" count="1" selected="0">
            <x v="24"/>
          </reference>
          <reference field="26" count="1" selected="0">
            <x v="20"/>
          </reference>
        </references>
      </pivotArea>
    </format>
    <format dxfId="108">
      <pivotArea dataOnly="0" labelOnly="1" fieldPosition="0">
        <references count="7">
          <reference field="0" count="1" selected="0">
            <x v="41"/>
          </reference>
          <reference field="1" count="1" selected="0">
            <x v="46"/>
          </reference>
          <reference field="6" count="1" selected="0">
            <x v="40"/>
          </reference>
          <reference field="8" count="1" selected="0">
            <x v="0"/>
          </reference>
          <reference field="11" count="1">
            <x v="5"/>
          </reference>
          <reference field="12" count="1" selected="0">
            <x v="11"/>
          </reference>
          <reference field="26" count="1" selected="0">
            <x v="36"/>
          </reference>
        </references>
      </pivotArea>
    </format>
    <format dxfId="107">
      <pivotArea dataOnly="0" labelOnly="1" fieldPosition="0">
        <references count="7">
          <reference field="0" count="1" selected="0">
            <x v="42"/>
          </reference>
          <reference field="1" count="1" selected="0">
            <x v="48"/>
          </reference>
          <reference field="6" count="1" selected="0">
            <x v="4"/>
          </reference>
          <reference field="8" count="1" selected="0">
            <x v="0"/>
          </reference>
          <reference field="11" count="1">
            <x v="5"/>
          </reference>
          <reference field="12" count="1" selected="0">
            <x v="2"/>
          </reference>
          <reference field="26" count="1" selected="0">
            <x v="6"/>
          </reference>
        </references>
      </pivotArea>
    </format>
    <format dxfId="106">
      <pivotArea dataOnly="0" labelOnly="1" fieldPosition="0">
        <references count="7">
          <reference field="0" count="1" selected="0">
            <x v="43"/>
          </reference>
          <reference field="1" count="1" selected="0">
            <x v="47"/>
          </reference>
          <reference field="6" count="1" selected="0">
            <x v="10"/>
          </reference>
          <reference field="8" count="1" selected="0">
            <x v="0"/>
          </reference>
          <reference field="11" count="1">
            <x v="5"/>
          </reference>
          <reference field="12" count="1" selected="0">
            <x v="21"/>
          </reference>
          <reference field="26" count="1" selected="0">
            <x v="11"/>
          </reference>
        </references>
      </pivotArea>
    </format>
    <format dxfId="105">
      <pivotArea dataOnly="0" labelOnly="1" fieldPosition="0">
        <references count="7">
          <reference field="0" count="1" selected="0">
            <x v="44"/>
          </reference>
          <reference field="1" count="1" selected="0">
            <x v="38"/>
          </reference>
          <reference field="6" count="1" selected="0">
            <x v="5"/>
          </reference>
          <reference field="8" count="1" selected="0">
            <x v="0"/>
          </reference>
          <reference field="11" count="1">
            <x v="0"/>
          </reference>
          <reference field="12" count="1" selected="0">
            <x v="29"/>
          </reference>
          <reference field="26" count="1" selected="0">
            <x v="6"/>
          </reference>
        </references>
      </pivotArea>
    </format>
    <format dxfId="104">
      <pivotArea dataOnly="0" labelOnly="1" fieldPosition="0">
        <references count="7">
          <reference field="0" count="1" selected="0">
            <x v="45"/>
          </reference>
          <reference field="1" count="1" selected="0">
            <x v="0"/>
          </reference>
          <reference field="6" count="1" selected="0">
            <x v="20"/>
          </reference>
          <reference field="8" count="1" selected="0">
            <x v="1"/>
          </reference>
          <reference field="11" count="1">
            <x v="0"/>
          </reference>
          <reference field="12" count="1" selected="0">
            <x v="27"/>
          </reference>
          <reference field="26" count="1" selected="0">
            <x v="19"/>
          </reference>
        </references>
      </pivotArea>
    </format>
    <format dxfId="103">
      <pivotArea dataOnly="0" labelOnly="1" fieldPosition="0">
        <references count="7">
          <reference field="0" count="1" selected="0">
            <x v="46"/>
          </reference>
          <reference field="1" count="1" selected="0">
            <x v="37"/>
          </reference>
          <reference field="6" count="1" selected="0">
            <x v="12"/>
          </reference>
          <reference field="8" count="1" selected="0">
            <x v="0"/>
          </reference>
          <reference field="11" count="1">
            <x v="0"/>
          </reference>
          <reference field="12" count="1" selected="0">
            <x v="33"/>
          </reference>
          <reference field="26" count="1" selected="0">
            <x v="14"/>
          </reference>
        </references>
      </pivotArea>
    </format>
    <format dxfId="102">
      <pivotArea dataOnly="0" labelOnly="1" fieldPosition="0">
        <references count="7">
          <reference field="0" count="1" selected="0">
            <x v="47"/>
          </reference>
          <reference field="1" count="1" selected="0">
            <x v="7"/>
          </reference>
          <reference field="6" count="1" selected="0">
            <x v="46"/>
          </reference>
          <reference field="8" count="1" selected="0">
            <x v="0"/>
          </reference>
          <reference field="11" count="1">
            <x v="6"/>
          </reference>
          <reference field="12" count="1" selected="0">
            <x v="40"/>
          </reference>
          <reference field="26" count="1" selected="0">
            <x v="43"/>
          </reference>
        </references>
      </pivotArea>
    </format>
    <format dxfId="101">
      <pivotArea dataOnly="0" labelOnly="1" fieldPosition="0">
        <references count="7">
          <reference field="0" count="1" selected="0">
            <x v="48"/>
          </reference>
          <reference field="1" count="1" selected="0">
            <x v="8"/>
          </reference>
          <reference field="6" count="1" selected="0">
            <x v="37"/>
          </reference>
          <reference field="8" count="1" selected="0">
            <x v="1"/>
          </reference>
          <reference field="11" count="1">
            <x v="6"/>
          </reference>
          <reference field="12" count="1" selected="0">
            <x v="26"/>
          </reference>
          <reference field="26" count="1" selected="0">
            <x v="33"/>
          </reference>
        </references>
      </pivotArea>
    </format>
    <format dxfId="100">
      <pivotArea dataOnly="0" labelOnly="1" fieldPosition="0">
        <references count="7">
          <reference field="0" count="1" selected="0">
            <x v="49"/>
          </reference>
          <reference field="1" count="1" selected="0">
            <x v="42"/>
          </reference>
          <reference field="6" count="1" selected="0">
            <x v="43"/>
          </reference>
          <reference field="8" count="1" selected="0">
            <x v="1"/>
          </reference>
          <reference field="11" count="1">
            <x v="4"/>
          </reference>
          <reference field="12" count="1" selected="0">
            <x v="39"/>
          </reference>
          <reference field="26" count="1" selected="0">
            <x v="39"/>
          </reference>
        </references>
      </pivotArea>
    </format>
    <format dxfId="99">
      <pivotArea dataOnly="0" labelOnly="1" fieldPosition="0">
        <references count="8">
          <reference field="0" count="1" selected="0">
            <x v="0"/>
          </reference>
          <reference field="1" count="1" selected="0">
            <x v="32"/>
          </reference>
          <reference field="6" count="1" selected="0">
            <x v="47"/>
          </reference>
          <reference field="8" count="1" selected="0">
            <x v="0"/>
          </reference>
          <reference field="10" count="1">
            <x v="10"/>
          </reference>
          <reference field="11" count="1" selected="0">
            <x v="1"/>
          </reference>
          <reference field="12" count="1" selected="0">
            <x v="0"/>
          </reference>
          <reference field="26" count="1" selected="0">
            <x v="43"/>
          </reference>
        </references>
      </pivotArea>
    </format>
    <format dxfId="98">
      <pivotArea dataOnly="0" labelOnly="1" fieldPosition="0">
        <references count="8">
          <reference field="0" count="1" selected="0">
            <x v="1"/>
          </reference>
          <reference field="1" count="1" selected="0">
            <x v="33"/>
          </reference>
          <reference field="6" count="1" selected="0">
            <x v="41"/>
          </reference>
          <reference field="8" count="1" selected="0">
            <x v="0"/>
          </reference>
          <reference field="10" count="1">
            <x v="10"/>
          </reference>
          <reference field="11" count="1" selected="0">
            <x v="1"/>
          </reference>
          <reference field="12" count="1" selected="0">
            <x v="18"/>
          </reference>
          <reference field="26" count="1" selected="0">
            <x v="38"/>
          </reference>
        </references>
      </pivotArea>
    </format>
    <format dxfId="97">
      <pivotArea dataOnly="0" labelOnly="1" fieldPosition="0">
        <references count="8">
          <reference field="0" count="1" selected="0">
            <x v="2"/>
          </reference>
          <reference field="1" count="1" selected="0">
            <x v="45"/>
          </reference>
          <reference field="6" count="1" selected="0">
            <x v="13"/>
          </reference>
          <reference field="8" count="1" selected="0">
            <x v="1"/>
          </reference>
          <reference field="10" count="1">
            <x v="3"/>
          </reference>
          <reference field="11" count="1" selected="0">
            <x v="4"/>
          </reference>
          <reference field="12" count="1" selected="0">
            <x v="10"/>
          </reference>
          <reference field="26" count="1" selected="0">
            <x v="15"/>
          </reference>
        </references>
      </pivotArea>
    </format>
    <format dxfId="96">
      <pivotArea dataOnly="0" labelOnly="1" fieldPosition="0">
        <references count="8">
          <reference field="0" count="1" selected="0">
            <x v="3"/>
          </reference>
          <reference field="1" count="1" selected="0">
            <x v="34"/>
          </reference>
          <reference field="6" count="1" selected="0">
            <x v="23"/>
          </reference>
          <reference field="8" count="1" selected="0">
            <x v="0"/>
          </reference>
          <reference field="10" count="1">
            <x v="10"/>
          </reference>
          <reference field="11" count="1" selected="0">
            <x v="1"/>
          </reference>
          <reference field="12" count="1" selected="0">
            <x v="7"/>
          </reference>
          <reference field="26" count="1" selected="0">
            <x v="21"/>
          </reference>
        </references>
      </pivotArea>
    </format>
    <format dxfId="95">
      <pivotArea dataOnly="0" labelOnly="1" fieldPosition="0">
        <references count="8">
          <reference field="0" count="1" selected="0">
            <x v="4"/>
          </reference>
          <reference field="1" count="1" selected="0">
            <x v="3"/>
          </reference>
          <reference field="6" count="1" selected="0">
            <x v="15"/>
          </reference>
          <reference field="8" count="1" selected="0">
            <x v="1"/>
          </reference>
          <reference field="10" count="1">
            <x v="10"/>
          </reference>
          <reference field="11" count="1" selected="0">
            <x v="1"/>
          </reference>
          <reference field="12" count="1" selected="0">
            <x v="5"/>
          </reference>
          <reference field="26" count="1" selected="0">
            <x v="16"/>
          </reference>
        </references>
      </pivotArea>
    </format>
    <format dxfId="94">
      <pivotArea dataOnly="0" labelOnly="1" fieldPosition="0">
        <references count="8">
          <reference field="0" count="1" selected="0">
            <x v="5"/>
          </reference>
          <reference field="1" count="1" selected="0">
            <x v="26"/>
          </reference>
          <reference field="6" count="1" selected="0">
            <x v="42"/>
          </reference>
          <reference field="8" count="1" selected="0">
            <x v="1"/>
          </reference>
          <reference field="10" count="1">
            <x v="10"/>
          </reference>
          <reference field="11" count="1" selected="0">
            <x v="1"/>
          </reference>
          <reference field="12" count="1" selected="0">
            <x v="19"/>
          </reference>
          <reference field="26" count="1" selected="0">
            <x v="38"/>
          </reference>
        </references>
      </pivotArea>
    </format>
    <format dxfId="93">
      <pivotArea dataOnly="0" labelOnly="1" fieldPosition="0">
        <references count="8">
          <reference field="0" count="1" selected="0">
            <x v="6"/>
          </reference>
          <reference field="1" count="1" selected="0">
            <x v="31"/>
          </reference>
          <reference field="6" count="1" selected="0">
            <x v="48"/>
          </reference>
          <reference field="8" count="1" selected="0">
            <x v="0"/>
          </reference>
          <reference field="10" count="1">
            <x v="10"/>
          </reference>
          <reference field="11" count="1" selected="0">
            <x v="1"/>
          </reference>
          <reference field="12" count="1" selected="0">
            <x v="9"/>
          </reference>
          <reference field="26" count="1" selected="0">
            <x v="45"/>
          </reference>
        </references>
      </pivotArea>
    </format>
    <format dxfId="92">
      <pivotArea dataOnly="0" labelOnly="1" fieldPosition="0">
        <references count="8">
          <reference field="0" count="1" selected="0">
            <x v="7"/>
          </reference>
          <reference field="1" count="1" selected="0">
            <x v="27"/>
          </reference>
          <reference field="6" count="1" selected="0">
            <x v="6"/>
          </reference>
          <reference field="8" count="1" selected="0">
            <x v="1"/>
          </reference>
          <reference field="10" count="1">
            <x v="10"/>
          </reference>
          <reference field="11" count="1" selected="0">
            <x v="1"/>
          </reference>
          <reference field="12" count="1" selected="0">
            <x v="30"/>
          </reference>
          <reference field="26" count="1" selected="0">
            <x v="9"/>
          </reference>
        </references>
      </pivotArea>
    </format>
    <format dxfId="91">
      <pivotArea dataOnly="0" labelOnly="1" fieldPosition="0">
        <references count="8">
          <reference field="0" count="1" selected="0">
            <x v="8"/>
          </reference>
          <reference field="1" count="1" selected="0">
            <x v="30"/>
          </reference>
          <reference field="6" count="1" selected="0">
            <x v="18"/>
          </reference>
          <reference field="8" count="1" selected="0">
            <x v="0"/>
          </reference>
          <reference field="10" count="1">
            <x v="9"/>
          </reference>
          <reference field="11" count="1" selected="0">
            <x v="1"/>
          </reference>
          <reference field="12" count="1" selected="0">
            <x v="41"/>
          </reference>
          <reference field="26" count="1" selected="0">
            <x v="17"/>
          </reference>
        </references>
      </pivotArea>
    </format>
    <format dxfId="90">
      <pivotArea dataOnly="0" labelOnly="1" fieldPosition="0">
        <references count="8">
          <reference field="0" count="1" selected="0">
            <x v="9"/>
          </reference>
          <reference field="1" count="1" selected="0">
            <x v="28"/>
          </reference>
          <reference field="6" count="1" selected="0">
            <x v="8"/>
          </reference>
          <reference field="8" count="1" selected="0">
            <x v="1"/>
          </reference>
          <reference field="10" count="1">
            <x v="9"/>
          </reference>
          <reference field="11" count="1" selected="0">
            <x v="1"/>
          </reference>
          <reference field="12" count="1" selected="0">
            <x v="38"/>
          </reference>
          <reference field="26" count="1" selected="0">
            <x v="10"/>
          </reference>
        </references>
      </pivotArea>
    </format>
    <format dxfId="89">
      <pivotArea dataOnly="0" labelOnly="1" fieldPosition="0">
        <references count="8">
          <reference field="0" count="1" selected="0">
            <x v="10"/>
          </reference>
          <reference field="1" count="1" selected="0">
            <x v="41"/>
          </reference>
          <reference field="6" count="1" selected="0">
            <x v="36"/>
          </reference>
          <reference field="8" count="1" selected="0">
            <x v="1"/>
          </reference>
          <reference field="10" count="1">
            <x v="9"/>
          </reference>
          <reference field="11" count="1" selected="0">
            <x v="1"/>
          </reference>
          <reference field="12" count="1" selected="0">
            <x v="23"/>
          </reference>
          <reference field="26" count="1" selected="0">
            <x v="32"/>
          </reference>
        </references>
      </pivotArea>
    </format>
    <format dxfId="88">
      <pivotArea dataOnly="0" labelOnly="1" fieldPosition="0">
        <references count="8">
          <reference field="0" count="1" selected="0">
            <x v="11"/>
          </reference>
          <reference field="1" count="1" selected="0">
            <x v="29"/>
          </reference>
          <reference field="6" count="1" selected="0">
            <x v="27"/>
          </reference>
          <reference field="8" count="1" selected="0">
            <x v="0"/>
          </reference>
          <reference field="10" count="1">
            <x v="9"/>
          </reference>
          <reference field="11" count="1" selected="0">
            <x v="1"/>
          </reference>
          <reference field="12" count="1" selected="0">
            <x v="49"/>
          </reference>
          <reference field="26" count="1" selected="0">
            <x v="23"/>
          </reference>
        </references>
      </pivotArea>
    </format>
    <format dxfId="87">
      <pivotArea dataOnly="0" labelOnly="1" fieldPosition="0">
        <references count="8">
          <reference field="0" count="1" selected="0">
            <x v="12"/>
          </reference>
          <reference field="1" count="1" selected="0">
            <x v="36"/>
          </reference>
          <reference field="6" count="1" selected="0">
            <x v="25"/>
          </reference>
          <reference field="8" count="1" selected="0">
            <x v="0"/>
          </reference>
          <reference field="10" count="1">
            <x v="9"/>
          </reference>
          <reference field="11" count="1" selected="0">
            <x v="1"/>
          </reference>
          <reference field="12" count="1" selected="0">
            <x v="37"/>
          </reference>
          <reference field="26" count="1" selected="0">
            <x v="23"/>
          </reference>
        </references>
      </pivotArea>
    </format>
    <format dxfId="86">
      <pivotArea dataOnly="0" labelOnly="1" fieldPosition="0">
        <references count="8">
          <reference field="0" count="1" selected="0">
            <x v="13"/>
          </reference>
          <reference field="1" count="1" selected="0">
            <x v="11"/>
          </reference>
          <reference field="6" count="1" selected="0">
            <x v="2"/>
          </reference>
          <reference field="8" count="1" selected="0">
            <x v="1"/>
          </reference>
          <reference field="10" count="1">
            <x v="5"/>
          </reference>
          <reference field="11" count="1" selected="0">
            <x v="3"/>
          </reference>
          <reference field="12" count="1" selected="0">
            <x v="47"/>
          </reference>
          <reference field="26" count="1" selected="0">
            <x v="5"/>
          </reference>
        </references>
      </pivotArea>
    </format>
    <format dxfId="85">
      <pivotArea dataOnly="0" labelOnly="1" fieldPosition="0">
        <references count="8">
          <reference field="0" count="1" selected="0">
            <x v="14"/>
          </reference>
          <reference field="1" count="1" selected="0">
            <x v="40"/>
          </reference>
          <reference field="6" count="1" selected="0">
            <x v="9"/>
          </reference>
          <reference field="8" count="1" selected="0">
            <x v="0"/>
          </reference>
          <reference field="10" count="1">
            <x v="5"/>
          </reference>
          <reference field="11" count="1" selected="0">
            <x v="3"/>
          </reference>
          <reference field="12" count="1" selected="0">
            <x v="36"/>
          </reference>
          <reference field="26" count="1" selected="0">
            <x v="11"/>
          </reference>
        </references>
      </pivotArea>
    </format>
    <format dxfId="84">
      <pivotArea dataOnly="0" labelOnly="1" fieldPosition="0">
        <references count="8">
          <reference field="0" count="1" selected="0">
            <x v="15"/>
          </reference>
          <reference field="1" count="1" selected="0">
            <x v="12"/>
          </reference>
          <reference field="6" count="1" selected="0">
            <x v="14"/>
          </reference>
          <reference field="8" count="1" selected="0">
            <x v="1"/>
          </reference>
          <reference field="10" count="1">
            <x v="5"/>
          </reference>
          <reference field="11" count="1" selected="0">
            <x v="3"/>
          </reference>
          <reference field="12" count="1" selected="0">
            <x v="4"/>
          </reference>
          <reference field="26" count="1" selected="0">
            <x v="15"/>
          </reference>
        </references>
      </pivotArea>
    </format>
    <format dxfId="83">
      <pivotArea dataOnly="0" labelOnly="1" fieldPosition="0">
        <references count="8">
          <reference field="0" count="1" selected="0">
            <x v="16"/>
          </reference>
          <reference field="1" count="1" selected="0">
            <x v="13"/>
          </reference>
          <reference field="6" count="1" selected="0">
            <x v="19"/>
          </reference>
          <reference field="8" count="1" selected="0">
            <x v="1"/>
          </reference>
          <reference field="10" count="1">
            <x v="5"/>
          </reference>
          <reference field="11" count="1" selected="0">
            <x v="3"/>
          </reference>
          <reference field="12" count="1" selected="0">
            <x v="42"/>
          </reference>
          <reference field="26" count="1" selected="0">
            <x v="18"/>
          </reference>
        </references>
      </pivotArea>
    </format>
    <format dxfId="82">
      <pivotArea dataOnly="0" labelOnly="1" fieldPosition="0">
        <references count="8">
          <reference field="0" count="1" selected="0">
            <x v="17"/>
          </reference>
          <reference field="1" count="1" selected="0">
            <x v="14"/>
          </reference>
          <reference field="6" count="1" selected="0">
            <x v="3"/>
          </reference>
          <reference field="8" count="1" selected="0">
            <x v="1"/>
          </reference>
          <reference field="10" count="1">
            <x v="5"/>
          </reference>
          <reference field="11" count="1" selected="0">
            <x v="3"/>
          </reference>
          <reference field="12" count="1" selected="0">
            <x v="44"/>
          </reference>
          <reference field="26" count="1" selected="0">
            <x v="5"/>
          </reference>
        </references>
      </pivotArea>
    </format>
    <format dxfId="81">
      <pivotArea dataOnly="0" labelOnly="1" fieldPosition="0">
        <references count="8">
          <reference field="0" count="1" selected="0">
            <x v="18"/>
          </reference>
          <reference field="1" count="1" selected="0">
            <x v="2"/>
          </reference>
          <reference field="6" count="1" selected="0">
            <x v="26"/>
          </reference>
          <reference field="8" count="1" selected="0">
            <x v="0"/>
          </reference>
          <reference field="10" count="1">
            <x v="1"/>
          </reference>
          <reference field="11" count="1" selected="0">
            <x v="1"/>
          </reference>
          <reference field="12" count="1" selected="0">
            <x v="31"/>
          </reference>
          <reference field="26" count="1" selected="0">
            <x v="23"/>
          </reference>
        </references>
      </pivotArea>
    </format>
    <format dxfId="80">
      <pivotArea dataOnly="0" labelOnly="1" fieldPosition="0">
        <references count="8">
          <reference field="0" count="1" selected="0">
            <x v="19"/>
          </reference>
          <reference field="1" count="1" selected="0">
            <x v="24"/>
          </reference>
          <reference field="6" count="1" selected="0">
            <x v="24"/>
          </reference>
          <reference field="8" count="1" selected="0">
            <x v="1"/>
          </reference>
          <reference field="10" count="1">
            <x v="1"/>
          </reference>
          <reference field="11" count="1" selected="0">
            <x v="1"/>
          </reference>
          <reference field="12" count="1" selected="0">
            <x v="12"/>
          </reference>
          <reference field="26" count="1" selected="0">
            <x v="22"/>
          </reference>
        </references>
      </pivotArea>
    </format>
    <format dxfId="79">
      <pivotArea dataOnly="0" labelOnly="1" fieldPosition="0">
        <references count="8">
          <reference field="0" count="1" selected="0">
            <x v="20"/>
          </reference>
          <reference field="1" count="1" selected="0">
            <x v="25"/>
          </reference>
          <reference field="6" count="1" selected="0">
            <x v="45"/>
          </reference>
          <reference field="8" count="1" selected="0">
            <x v="1"/>
          </reference>
          <reference field="10" count="1">
            <x v="1"/>
          </reference>
          <reference field="11" count="1" selected="0">
            <x v="1"/>
          </reference>
          <reference field="12" count="1" selected="0">
            <x v="35"/>
          </reference>
          <reference field="26" count="1" selected="0">
            <x v="42"/>
          </reference>
        </references>
      </pivotArea>
    </format>
    <format dxfId="78">
      <pivotArea dataOnly="0" labelOnly="1" fieldPosition="0">
        <references count="8">
          <reference field="0" count="1" selected="0">
            <x v="21"/>
          </reference>
          <reference field="1" count="1" selected="0">
            <x v="1"/>
          </reference>
          <reference field="6" count="1" selected="0">
            <x v="7"/>
          </reference>
          <reference field="8" count="1" selected="0">
            <x v="0"/>
          </reference>
          <reference field="10" count="1">
            <x v="1"/>
          </reference>
          <reference field="11" count="1" selected="0">
            <x v="1"/>
          </reference>
          <reference field="12" count="1" selected="0">
            <x v="25"/>
          </reference>
          <reference field="26" count="1" selected="0">
            <x v="10"/>
          </reference>
        </references>
      </pivotArea>
    </format>
    <format dxfId="77">
      <pivotArea dataOnly="0" labelOnly="1" fieldPosition="0">
        <references count="8">
          <reference field="0" count="1" selected="0">
            <x v="22"/>
          </reference>
          <reference field="1" count="1" selected="0">
            <x v="4"/>
          </reference>
          <reference field="6" count="1" selected="0">
            <x v="1"/>
          </reference>
          <reference field="8" count="1" selected="0">
            <x v="0"/>
          </reference>
          <reference field="10" count="1">
            <x v="1"/>
          </reference>
          <reference field="11" count="1" selected="0">
            <x v="1"/>
          </reference>
          <reference field="12" count="1" selected="0">
            <x v="46"/>
          </reference>
          <reference field="26" count="1" selected="0">
            <x v="1"/>
          </reference>
        </references>
      </pivotArea>
    </format>
    <format dxfId="76">
      <pivotArea dataOnly="0" labelOnly="1" fieldPosition="0">
        <references count="8">
          <reference field="0" count="1" selected="0">
            <x v="23"/>
          </reference>
          <reference field="1" count="1" selected="0">
            <x v="5"/>
          </reference>
          <reference field="6" count="1" selected="0">
            <x v="49"/>
          </reference>
          <reference field="8" count="1" selected="0">
            <x v="0"/>
          </reference>
          <reference field="10" count="1">
            <x v="1"/>
          </reference>
          <reference field="11" count="1" selected="0">
            <x v="1"/>
          </reference>
          <reference field="12" count="1" selected="0">
            <x v="3"/>
          </reference>
          <reference field="26" count="1" selected="0">
            <x v="45"/>
          </reference>
        </references>
      </pivotArea>
    </format>
    <format dxfId="75">
      <pivotArea dataOnly="0" labelOnly="1" fieldPosition="0">
        <references count="8">
          <reference field="0" count="1" selected="0">
            <x v="24"/>
          </reference>
          <reference field="1" count="1" selected="0">
            <x v="6"/>
          </reference>
          <reference field="6" count="1" selected="0">
            <x v="11"/>
          </reference>
          <reference field="8" count="1" selected="0">
            <x v="0"/>
          </reference>
          <reference field="10" count="1">
            <x v="1"/>
          </reference>
          <reference field="11" count="1" selected="0">
            <x v="1"/>
          </reference>
          <reference field="12" count="1" selected="0">
            <x v="1"/>
          </reference>
          <reference field="26" count="1" selected="0">
            <x v="12"/>
          </reference>
        </references>
      </pivotArea>
    </format>
    <format dxfId="74">
      <pivotArea dataOnly="0" labelOnly="1" fieldPosition="0">
        <references count="8">
          <reference field="0" count="1" selected="0">
            <x v="25"/>
          </reference>
          <reference field="1" count="1" selected="0">
            <x v="35"/>
          </reference>
          <reference field="6" count="1" selected="0">
            <x v="28"/>
          </reference>
          <reference field="8" count="1" selected="0">
            <x v="0"/>
          </reference>
          <reference field="10" count="1">
            <x v="1"/>
          </reference>
          <reference field="11" count="1" selected="0">
            <x v="1"/>
          </reference>
          <reference field="12" count="1" selected="0">
            <x v="34"/>
          </reference>
          <reference field="26" count="1" selected="0">
            <x v="24"/>
          </reference>
        </references>
      </pivotArea>
    </format>
    <format dxfId="73">
      <pivotArea dataOnly="0" labelOnly="1" fieldPosition="0">
        <references count="8">
          <reference field="0" count="1" selected="0">
            <x v="26"/>
          </reference>
          <reference field="1" count="1" selected="0">
            <x v="9"/>
          </reference>
          <reference field="6" count="1" selected="0">
            <x v="16"/>
          </reference>
          <reference field="8" count="1" selected="0">
            <x v="1"/>
          </reference>
          <reference field="10" count="1">
            <x v="2"/>
          </reference>
          <reference field="11" count="1" selected="0">
            <x v="3"/>
          </reference>
          <reference field="12" count="1" selected="0">
            <x v="48"/>
          </reference>
          <reference field="26" count="1" selected="0">
            <x v="16"/>
          </reference>
        </references>
      </pivotArea>
    </format>
    <format dxfId="72">
      <pivotArea dataOnly="0" labelOnly="1" fieldPosition="0">
        <references count="8">
          <reference field="0" count="1" selected="0">
            <x v="27"/>
          </reference>
          <reference field="1" count="1" selected="0">
            <x v="10"/>
          </reference>
          <reference field="6" count="1" selected="0">
            <x v="32"/>
          </reference>
          <reference field="8" count="1" selected="0">
            <x v="1"/>
          </reference>
          <reference field="10" count="1">
            <x v="2"/>
          </reference>
          <reference field="11" count="1" selected="0">
            <x v="3"/>
          </reference>
          <reference field="12" count="1" selected="0">
            <x v="14"/>
          </reference>
          <reference field="26" count="1" selected="0">
            <x v="28"/>
          </reference>
        </references>
      </pivotArea>
    </format>
    <format dxfId="71">
      <pivotArea dataOnly="0" labelOnly="1" fieldPosition="0">
        <references count="8">
          <reference field="0" count="1" selected="0">
            <x v="28"/>
          </reference>
          <reference field="1" count="1" selected="0">
            <x v="39"/>
          </reference>
          <reference field="6" count="1" selected="0">
            <x v="44"/>
          </reference>
          <reference field="8" count="1" selected="0">
            <x v="0"/>
          </reference>
          <reference field="10" count="1">
            <x v="2"/>
          </reference>
          <reference field="11" count="1" selected="0">
            <x v="3"/>
          </reference>
          <reference field="12" count="1" selected="0">
            <x v="32"/>
          </reference>
          <reference field="26" count="1" selected="0">
            <x v="40"/>
          </reference>
        </references>
      </pivotArea>
    </format>
    <format dxfId="70">
      <pivotArea dataOnly="0" labelOnly="1" fieldPosition="0">
        <references count="8">
          <reference field="0" count="1" selected="0">
            <x v="29"/>
          </reference>
          <reference field="1" count="1" selected="0">
            <x v="23"/>
          </reference>
          <reference field="6" count="1" selected="0">
            <x v="29"/>
          </reference>
          <reference field="8" count="1" selected="0">
            <x v="0"/>
          </reference>
          <reference field="10" count="1">
            <x v="4"/>
          </reference>
          <reference field="11" count="1" selected="0">
            <x v="2"/>
          </reference>
          <reference field="12" count="1" selected="0">
            <x v="22"/>
          </reference>
          <reference field="26" count="1" selected="0">
            <x v="25"/>
          </reference>
        </references>
      </pivotArea>
    </format>
    <format dxfId="69">
      <pivotArea dataOnly="0" labelOnly="1" fieldPosition="0">
        <references count="8">
          <reference field="0" count="1" selected="0">
            <x v="30"/>
          </reference>
          <reference field="1" count="1" selected="0">
            <x v="22"/>
          </reference>
          <reference field="6" count="1" selected="0">
            <x v="39"/>
          </reference>
          <reference field="8" count="1" selected="0">
            <x v="0"/>
          </reference>
          <reference field="10" count="1">
            <x v="4"/>
          </reference>
          <reference field="11" count="1" selected="0">
            <x v="2"/>
          </reference>
          <reference field="12" count="1" selected="0">
            <x v="8"/>
          </reference>
          <reference field="26" count="1" selected="0">
            <x v="35"/>
          </reference>
        </references>
      </pivotArea>
    </format>
    <format dxfId="68">
      <pivotArea dataOnly="0" labelOnly="1" fieldPosition="0">
        <references count="8">
          <reference field="0" count="1" selected="0">
            <x v="31"/>
          </reference>
          <reference field="1" count="1" selected="0">
            <x v="21"/>
          </reference>
          <reference field="6" count="1" selected="0">
            <x v="17"/>
          </reference>
          <reference field="8" count="1" selected="0">
            <x v="0"/>
          </reference>
          <reference field="10" count="1">
            <x v="4"/>
          </reference>
          <reference field="11" count="1" selected="0">
            <x v="2"/>
          </reference>
          <reference field="12" count="1" selected="0">
            <x v="6"/>
          </reference>
          <reference field="26" count="1" selected="0">
            <x v="16"/>
          </reference>
        </references>
      </pivotArea>
    </format>
    <format dxfId="67">
      <pivotArea dataOnly="0" labelOnly="1" fieldPosition="0">
        <references count="8">
          <reference field="0" count="1" selected="0">
            <x v="32"/>
          </reference>
          <reference field="1" count="1" selected="0">
            <x v="19"/>
          </reference>
          <reference field="6" count="1" selected="0">
            <x v="30"/>
          </reference>
          <reference field="8" count="1" selected="0">
            <x v="1"/>
          </reference>
          <reference field="10" count="1">
            <x v="4"/>
          </reference>
          <reference field="11" count="1" selected="0">
            <x v="2"/>
          </reference>
          <reference field="12" count="1" selected="0">
            <x v="45"/>
          </reference>
          <reference field="26" count="1" selected="0">
            <x v="26"/>
          </reference>
        </references>
      </pivotArea>
    </format>
    <format dxfId="66">
      <pivotArea dataOnly="0" labelOnly="1" fieldPosition="0">
        <references count="8">
          <reference field="0" count="1" selected="0">
            <x v="33"/>
          </reference>
          <reference field="1" count="1" selected="0">
            <x v="20"/>
          </reference>
          <reference field="6" count="1" selected="0">
            <x v="31"/>
          </reference>
          <reference field="8" count="1" selected="0">
            <x v="1"/>
          </reference>
          <reference field="10" count="1">
            <x v="4"/>
          </reference>
          <reference field="11" count="1" selected="0">
            <x v="2"/>
          </reference>
          <reference field="12" count="1" selected="0">
            <x v="17"/>
          </reference>
          <reference field="26" count="1" selected="0">
            <x v="27"/>
          </reference>
        </references>
      </pivotArea>
    </format>
    <format dxfId="65">
      <pivotArea dataOnly="0" labelOnly="1" fieldPosition="0">
        <references count="8">
          <reference field="0" count="1" selected="0">
            <x v="34"/>
          </reference>
          <reference field="1" count="1" selected="0">
            <x v="16"/>
          </reference>
          <reference field="6" count="1" selected="0">
            <x v="0"/>
          </reference>
          <reference field="8" count="1" selected="0">
            <x v="1"/>
          </reference>
          <reference field="10" count="1">
            <x v="4"/>
          </reference>
          <reference field="11" count="1" selected="0">
            <x v="2"/>
          </reference>
          <reference field="12" count="1" selected="0">
            <x v="16"/>
          </reference>
          <reference field="26" count="1" selected="0">
            <x v="1"/>
          </reference>
        </references>
      </pivotArea>
    </format>
    <format dxfId="64">
      <pivotArea dataOnly="0" labelOnly="1" fieldPosition="0">
        <references count="8">
          <reference field="0" count="1" selected="0">
            <x v="35"/>
          </reference>
          <reference field="1" count="1" selected="0">
            <x v="17"/>
          </reference>
          <reference field="6" count="1" selected="0">
            <x v="22"/>
          </reference>
          <reference field="8" count="1" selected="0">
            <x v="1"/>
          </reference>
          <reference field="10" count="1">
            <x v="4"/>
          </reference>
          <reference field="11" count="1" selected="0">
            <x v="2"/>
          </reference>
          <reference field="12" count="1" selected="0">
            <x v="15"/>
          </reference>
          <reference field="26" count="1" selected="0">
            <x v="21"/>
          </reference>
        </references>
      </pivotArea>
    </format>
    <format dxfId="63">
      <pivotArea dataOnly="0" labelOnly="1" fieldPosition="0">
        <references count="8">
          <reference field="0" count="1" selected="0">
            <x v="36"/>
          </reference>
          <reference field="1" count="1" selected="0">
            <x v="15"/>
          </reference>
          <reference field="6" count="1" selected="0">
            <x v="35"/>
          </reference>
          <reference field="8" count="1" selected="0">
            <x v="1"/>
          </reference>
          <reference field="10" count="1">
            <x v="4"/>
          </reference>
          <reference field="11" count="1" selected="0">
            <x v="2"/>
          </reference>
          <reference field="12" count="1" selected="0">
            <x v="20"/>
          </reference>
          <reference field="26" count="1" selected="0">
            <x v="32"/>
          </reference>
        </references>
      </pivotArea>
    </format>
    <format dxfId="62">
      <pivotArea dataOnly="0" labelOnly="1" fieldPosition="0">
        <references count="8">
          <reference field="0" count="1" selected="0">
            <x v="37"/>
          </reference>
          <reference field="1" count="1" selected="0">
            <x v="18"/>
          </reference>
          <reference field="6" count="1" selected="0">
            <x v="33"/>
          </reference>
          <reference field="8" count="1" selected="0">
            <x v="1"/>
          </reference>
          <reference field="10" count="1">
            <x v="4"/>
          </reference>
          <reference field="11" count="1" selected="0">
            <x v="2"/>
          </reference>
          <reference field="12" count="1" selected="0">
            <x v="13"/>
          </reference>
          <reference field="26" count="1" selected="0">
            <x v="29"/>
          </reference>
        </references>
      </pivotArea>
    </format>
    <format dxfId="61">
      <pivotArea dataOnly="0" labelOnly="1" fieldPosition="0">
        <references count="8">
          <reference field="0" count="1" selected="0">
            <x v="38"/>
          </reference>
          <reference field="1" count="1" selected="0">
            <x v="44"/>
          </reference>
          <reference field="6" count="1" selected="0">
            <x v="34"/>
          </reference>
          <reference field="8" count="1" selected="0">
            <x v="1"/>
          </reference>
          <reference field="10" count="1">
            <x v="0"/>
          </reference>
          <reference field="11" count="1" selected="0">
            <x v="5"/>
          </reference>
          <reference field="12" count="1" selected="0">
            <x v="43"/>
          </reference>
          <reference field="26" count="1" selected="0">
            <x v="30"/>
          </reference>
        </references>
      </pivotArea>
    </format>
    <format dxfId="60">
      <pivotArea dataOnly="0" labelOnly="1" fieldPosition="0">
        <references count="8">
          <reference field="0" count="1" selected="0">
            <x v="39"/>
          </reference>
          <reference field="1" count="1" selected="0">
            <x v="43"/>
          </reference>
          <reference field="6" count="1" selected="0">
            <x v="38"/>
          </reference>
          <reference field="8" count="1" selected="0">
            <x v="1"/>
          </reference>
          <reference field="10" count="1">
            <x v="0"/>
          </reference>
          <reference field="11" count="1" selected="0">
            <x v="5"/>
          </reference>
          <reference field="12" count="1" selected="0">
            <x v="28"/>
          </reference>
          <reference field="26" count="1" selected="0">
            <x v="34"/>
          </reference>
        </references>
      </pivotArea>
    </format>
    <format dxfId="59">
      <pivotArea dataOnly="0" labelOnly="1" fieldPosition="0">
        <references count="8">
          <reference field="0" count="1" selected="0">
            <x v="40"/>
          </reference>
          <reference field="1" count="1" selected="0">
            <x v="49"/>
          </reference>
          <reference field="6" count="1" selected="0">
            <x v="21"/>
          </reference>
          <reference field="8" count="1" selected="0">
            <x v="0"/>
          </reference>
          <reference field="10" count="1">
            <x v="0"/>
          </reference>
          <reference field="11" count="1" selected="0">
            <x v="5"/>
          </reference>
          <reference field="12" count="1" selected="0">
            <x v="24"/>
          </reference>
          <reference field="26" count="1" selected="0">
            <x v="20"/>
          </reference>
        </references>
      </pivotArea>
    </format>
    <format dxfId="58">
      <pivotArea dataOnly="0" labelOnly="1" fieldPosition="0">
        <references count="8">
          <reference field="0" count="1" selected="0">
            <x v="41"/>
          </reference>
          <reference field="1" count="1" selected="0">
            <x v="46"/>
          </reference>
          <reference field="6" count="1" selected="0">
            <x v="40"/>
          </reference>
          <reference field="8" count="1" selected="0">
            <x v="0"/>
          </reference>
          <reference field="10" count="1">
            <x v="7"/>
          </reference>
          <reference field="11" count="1" selected="0">
            <x v="5"/>
          </reference>
          <reference field="12" count="1" selected="0">
            <x v="11"/>
          </reference>
          <reference field="26" count="1" selected="0">
            <x v="36"/>
          </reference>
        </references>
      </pivotArea>
    </format>
    <format dxfId="57">
      <pivotArea dataOnly="0" labelOnly="1" fieldPosition="0">
        <references count="8">
          <reference field="0" count="1" selected="0">
            <x v="42"/>
          </reference>
          <reference field="1" count="1" selected="0">
            <x v="48"/>
          </reference>
          <reference field="6" count="1" selected="0">
            <x v="4"/>
          </reference>
          <reference field="8" count="1" selected="0">
            <x v="0"/>
          </reference>
          <reference field="10" count="1">
            <x v="7"/>
          </reference>
          <reference field="11" count="1" selected="0">
            <x v="5"/>
          </reference>
          <reference field="12" count="1" selected="0">
            <x v="2"/>
          </reference>
          <reference field="26" count="1" selected="0">
            <x v="6"/>
          </reference>
        </references>
      </pivotArea>
    </format>
    <format dxfId="56">
      <pivotArea dataOnly="0" labelOnly="1" fieldPosition="0">
        <references count="8">
          <reference field="0" count="1" selected="0">
            <x v="43"/>
          </reference>
          <reference field="1" count="1" selected="0">
            <x v="47"/>
          </reference>
          <reference field="6" count="1" selected="0">
            <x v="10"/>
          </reference>
          <reference field="8" count="1" selected="0">
            <x v="0"/>
          </reference>
          <reference field="10" count="1">
            <x v="7"/>
          </reference>
          <reference field="11" count="1" selected="0">
            <x v="5"/>
          </reference>
          <reference field="12" count="1" selected="0">
            <x v="21"/>
          </reference>
          <reference field="26" count="1" selected="0">
            <x v="11"/>
          </reference>
        </references>
      </pivotArea>
    </format>
    <format dxfId="55">
      <pivotArea dataOnly="0" labelOnly="1" fieldPosition="0">
        <references count="8">
          <reference field="0" count="1" selected="0">
            <x v="44"/>
          </reference>
          <reference field="1" count="1" selected="0">
            <x v="38"/>
          </reference>
          <reference field="6" count="1" selected="0">
            <x v="5"/>
          </reference>
          <reference field="8" count="1" selected="0">
            <x v="0"/>
          </reference>
          <reference field="10" count="1">
            <x v="6"/>
          </reference>
          <reference field="11" count="1" selected="0">
            <x v="0"/>
          </reference>
          <reference field="12" count="1" selected="0">
            <x v="29"/>
          </reference>
          <reference field="26" count="1" selected="0">
            <x v="6"/>
          </reference>
        </references>
      </pivotArea>
    </format>
    <format dxfId="54">
      <pivotArea dataOnly="0" labelOnly="1" fieldPosition="0">
        <references count="8">
          <reference field="0" count="1" selected="0">
            <x v="45"/>
          </reference>
          <reference field="1" count="1" selected="0">
            <x v="0"/>
          </reference>
          <reference field="6" count="1" selected="0">
            <x v="20"/>
          </reference>
          <reference field="8" count="1" selected="0">
            <x v="1"/>
          </reference>
          <reference field="10" count="1">
            <x v="6"/>
          </reference>
          <reference field="11" count="1" selected="0">
            <x v="0"/>
          </reference>
          <reference field="12" count="1" selected="0">
            <x v="27"/>
          </reference>
          <reference field="26" count="1" selected="0">
            <x v="19"/>
          </reference>
        </references>
      </pivotArea>
    </format>
    <format dxfId="53">
      <pivotArea dataOnly="0" labelOnly="1" fieldPosition="0">
        <references count="8">
          <reference field="0" count="1" selected="0">
            <x v="46"/>
          </reference>
          <reference field="1" count="1" selected="0">
            <x v="37"/>
          </reference>
          <reference field="6" count="1" selected="0">
            <x v="12"/>
          </reference>
          <reference field="8" count="1" selected="0">
            <x v="0"/>
          </reference>
          <reference field="10" count="1">
            <x v="6"/>
          </reference>
          <reference field="11" count="1" selected="0">
            <x v="0"/>
          </reference>
          <reference field="12" count="1" selected="0">
            <x v="33"/>
          </reference>
          <reference field="26" count="1" selected="0">
            <x v="14"/>
          </reference>
        </references>
      </pivotArea>
    </format>
    <format dxfId="52">
      <pivotArea dataOnly="0" labelOnly="1" fieldPosition="0">
        <references count="8">
          <reference field="0" count="1" selected="0">
            <x v="47"/>
          </reference>
          <reference field="1" count="1" selected="0">
            <x v="7"/>
          </reference>
          <reference field="6" count="1" selected="0">
            <x v="46"/>
          </reference>
          <reference field="8" count="1" selected="0">
            <x v="0"/>
          </reference>
          <reference field="10" count="1">
            <x v="8"/>
          </reference>
          <reference field="11" count="1" selected="0">
            <x v="6"/>
          </reference>
          <reference field="12" count="1" selected="0">
            <x v="40"/>
          </reference>
          <reference field="26" count="1" selected="0">
            <x v="43"/>
          </reference>
        </references>
      </pivotArea>
    </format>
    <format dxfId="51">
      <pivotArea dataOnly="0" labelOnly="1" fieldPosition="0">
        <references count="8">
          <reference field="0" count="1" selected="0">
            <x v="48"/>
          </reference>
          <reference field="1" count="1" selected="0">
            <x v="8"/>
          </reference>
          <reference field="6" count="1" selected="0">
            <x v="37"/>
          </reference>
          <reference field="8" count="1" selected="0">
            <x v="1"/>
          </reference>
          <reference field="10" count="1">
            <x v="8"/>
          </reference>
          <reference field="11" count="1" selected="0">
            <x v="6"/>
          </reference>
          <reference field="12" count="1" selected="0">
            <x v="26"/>
          </reference>
          <reference field="26" count="1" selected="0">
            <x v="33"/>
          </reference>
        </references>
      </pivotArea>
    </format>
    <format dxfId="50">
      <pivotArea dataOnly="0" labelOnly="1" fieldPosition="0">
        <references count="8">
          <reference field="0" count="1" selected="0">
            <x v="49"/>
          </reference>
          <reference field="1" count="1" selected="0">
            <x v="42"/>
          </reference>
          <reference field="6" count="1" selected="0">
            <x v="43"/>
          </reference>
          <reference field="8" count="1" selected="0">
            <x v="1"/>
          </reference>
          <reference field="10" count="1">
            <x v="3"/>
          </reference>
          <reference field="11" count="1" selected="0">
            <x v="4"/>
          </reference>
          <reference field="12" count="1" selected="0">
            <x v="39"/>
          </reference>
          <reference field="26" count="1" selected="0">
            <x v="39"/>
          </reference>
        </references>
      </pivotArea>
    </format>
    <format dxfId="49">
      <pivotArea dataOnly="0" labelOnly="1" fieldPosition="0">
        <references count="9">
          <reference field="0" count="1" selected="0">
            <x v="0"/>
          </reference>
          <reference field="1" count="1" selected="0">
            <x v="32"/>
          </reference>
          <reference field="6" count="1" selected="0">
            <x v="47"/>
          </reference>
          <reference field="8" count="1" selected="0">
            <x v="0"/>
          </reference>
          <reference field="10" count="1" selected="0">
            <x v="10"/>
          </reference>
          <reference field="11" count="1" selected="0">
            <x v="1"/>
          </reference>
          <reference field="12" count="1" selected="0">
            <x v="0"/>
          </reference>
          <reference field="17" count="1">
            <x v="13"/>
          </reference>
          <reference field="26" count="1" selected="0">
            <x v="43"/>
          </reference>
        </references>
      </pivotArea>
    </format>
    <format dxfId="48">
      <pivotArea dataOnly="0" labelOnly="1" fieldPosition="0">
        <references count="9">
          <reference field="0" count="1" selected="0">
            <x v="1"/>
          </reference>
          <reference field="1" count="1" selected="0">
            <x v="33"/>
          </reference>
          <reference field="6" count="1" selected="0">
            <x v="41"/>
          </reference>
          <reference field="8" count="1" selected="0">
            <x v="0"/>
          </reference>
          <reference field="10" count="1" selected="0">
            <x v="10"/>
          </reference>
          <reference field="11" count="1" selected="0">
            <x v="1"/>
          </reference>
          <reference field="12" count="1" selected="0">
            <x v="18"/>
          </reference>
          <reference field="17" count="1">
            <x v="6"/>
          </reference>
          <reference field="26" count="1" selected="0">
            <x v="38"/>
          </reference>
        </references>
      </pivotArea>
    </format>
    <format dxfId="47">
      <pivotArea dataOnly="0" labelOnly="1" fieldPosition="0">
        <references count="9">
          <reference field="0" count="1" selected="0">
            <x v="2"/>
          </reference>
          <reference field="1" count="1" selected="0">
            <x v="45"/>
          </reference>
          <reference field="6" count="1" selected="0">
            <x v="13"/>
          </reference>
          <reference field="8" count="1" selected="0">
            <x v="1"/>
          </reference>
          <reference field="10" count="1" selected="0">
            <x v="3"/>
          </reference>
          <reference field="11" count="1" selected="0">
            <x v="4"/>
          </reference>
          <reference field="12" count="1" selected="0">
            <x v="10"/>
          </reference>
          <reference field="17" count="1">
            <x v="17"/>
          </reference>
          <reference field="26" count="1" selected="0">
            <x v="15"/>
          </reference>
        </references>
      </pivotArea>
    </format>
    <format dxfId="46">
      <pivotArea dataOnly="0" labelOnly="1" fieldPosition="0">
        <references count="9">
          <reference field="0" count="1" selected="0">
            <x v="3"/>
          </reference>
          <reference field="1" count="1" selected="0">
            <x v="34"/>
          </reference>
          <reference field="6" count="1" selected="0">
            <x v="23"/>
          </reference>
          <reference field="8" count="1" selected="0">
            <x v="0"/>
          </reference>
          <reference field="10" count="1" selected="0">
            <x v="10"/>
          </reference>
          <reference field="11" count="1" selected="0">
            <x v="1"/>
          </reference>
          <reference field="12" count="1" selected="0">
            <x v="7"/>
          </reference>
          <reference field="17" count="1">
            <x v="0"/>
          </reference>
          <reference field="26" count="1" selected="0">
            <x v="21"/>
          </reference>
        </references>
      </pivotArea>
    </format>
    <format dxfId="45">
      <pivotArea dataOnly="0" labelOnly="1" fieldPosition="0">
        <references count="9">
          <reference field="0" count="1" selected="0">
            <x v="4"/>
          </reference>
          <reference field="1" count="1" selected="0">
            <x v="3"/>
          </reference>
          <reference field="6" count="1" selected="0">
            <x v="15"/>
          </reference>
          <reference field="8" count="1" selected="0">
            <x v="1"/>
          </reference>
          <reference field="10" count="1" selected="0">
            <x v="10"/>
          </reference>
          <reference field="11" count="1" selected="0">
            <x v="1"/>
          </reference>
          <reference field="12" count="1" selected="0">
            <x v="5"/>
          </reference>
          <reference field="17" count="1">
            <x v="31"/>
          </reference>
          <reference field="26" count="1" selected="0">
            <x v="16"/>
          </reference>
        </references>
      </pivotArea>
    </format>
    <format dxfId="44">
      <pivotArea dataOnly="0" labelOnly="1" fieldPosition="0">
        <references count="9">
          <reference field="0" count="1" selected="0">
            <x v="5"/>
          </reference>
          <reference field="1" count="1" selected="0">
            <x v="26"/>
          </reference>
          <reference field="6" count="1" selected="0">
            <x v="42"/>
          </reference>
          <reference field="8" count="1" selected="0">
            <x v="1"/>
          </reference>
          <reference field="10" count="1" selected="0">
            <x v="10"/>
          </reference>
          <reference field="11" count="1" selected="0">
            <x v="1"/>
          </reference>
          <reference field="12" count="1" selected="0">
            <x v="19"/>
          </reference>
          <reference field="17" count="1">
            <x v="16"/>
          </reference>
          <reference field="26" count="1" selected="0">
            <x v="38"/>
          </reference>
        </references>
      </pivotArea>
    </format>
    <format dxfId="43">
      <pivotArea dataOnly="0" labelOnly="1" fieldPosition="0">
        <references count="9">
          <reference field="0" count="1" selected="0">
            <x v="6"/>
          </reference>
          <reference field="1" count="1" selected="0">
            <x v="31"/>
          </reference>
          <reference field="6" count="1" selected="0">
            <x v="48"/>
          </reference>
          <reference field="8" count="1" selected="0">
            <x v="0"/>
          </reference>
          <reference field="10" count="1" selected="0">
            <x v="10"/>
          </reference>
          <reference field="11" count="1" selected="0">
            <x v="1"/>
          </reference>
          <reference field="12" count="1" selected="0">
            <x v="9"/>
          </reference>
          <reference field="17" count="1">
            <x v="12"/>
          </reference>
          <reference field="26" count="1" selected="0">
            <x v="45"/>
          </reference>
        </references>
      </pivotArea>
    </format>
    <format dxfId="42">
      <pivotArea dataOnly="0" labelOnly="1" fieldPosition="0">
        <references count="9">
          <reference field="0" count="1" selected="0">
            <x v="7"/>
          </reference>
          <reference field="1" count="1" selected="0">
            <x v="27"/>
          </reference>
          <reference field="6" count="1" selected="0">
            <x v="6"/>
          </reference>
          <reference field="8" count="1" selected="0">
            <x v="1"/>
          </reference>
          <reference field="10" count="1" selected="0">
            <x v="10"/>
          </reference>
          <reference field="11" count="1" selected="0">
            <x v="1"/>
          </reference>
          <reference field="12" count="1" selected="0">
            <x v="30"/>
          </reference>
          <reference field="17" count="1">
            <x v="9"/>
          </reference>
          <reference field="26" count="1" selected="0">
            <x v="9"/>
          </reference>
        </references>
      </pivotArea>
    </format>
    <format dxfId="41">
      <pivotArea dataOnly="0" labelOnly="1" fieldPosition="0">
        <references count="9">
          <reference field="0" count="1" selected="0">
            <x v="8"/>
          </reference>
          <reference field="1" count="1" selected="0">
            <x v="30"/>
          </reference>
          <reference field="6" count="1" selected="0">
            <x v="18"/>
          </reference>
          <reference field="8" count="1" selected="0">
            <x v="0"/>
          </reference>
          <reference field="10" count="1" selected="0">
            <x v="9"/>
          </reference>
          <reference field="11" count="1" selected="0">
            <x v="1"/>
          </reference>
          <reference field="12" count="1" selected="0">
            <x v="41"/>
          </reference>
          <reference field="17" count="1">
            <x v="26"/>
          </reference>
          <reference field="26" count="1" selected="0">
            <x v="17"/>
          </reference>
        </references>
      </pivotArea>
    </format>
    <format dxfId="40">
      <pivotArea dataOnly="0" labelOnly="1" fieldPosition="0">
        <references count="9">
          <reference field="0" count="1" selected="0">
            <x v="9"/>
          </reference>
          <reference field="1" count="1" selected="0">
            <x v="28"/>
          </reference>
          <reference field="6" count="1" selected="0">
            <x v="8"/>
          </reference>
          <reference field="8" count="1" selected="0">
            <x v="1"/>
          </reference>
          <reference field="10" count="1" selected="0">
            <x v="9"/>
          </reference>
          <reference field="11" count="1" selected="0">
            <x v="1"/>
          </reference>
          <reference field="12" count="1" selected="0">
            <x v="38"/>
          </reference>
          <reference field="17" count="1">
            <x v="12"/>
          </reference>
          <reference field="26" count="1" selected="0">
            <x v="10"/>
          </reference>
        </references>
      </pivotArea>
    </format>
    <format dxfId="39">
      <pivotArea dataOnly="0" labelOnly="1" fieldPosition="0">
        <references count="9">
          <reference field="0" count="1" selected="0">
            <x v="10"/>
          </reference>
          <reference field="1" count="1" selected="0">
            <x v="41"/>
          </reference>
          <reference field="6" count="1" selected="0">
            <x v="36"/>
          </reference>
          <reference field="8" count="1" selected="0">
            <x v="1"/>
          </reference>
          <reference field="10" count="1" selected="0">
            <x v="9"/>
          </reference>
          <reference field="11" count="1" selected="0">
            <x v="1"/>
          </reference>
          <reference field="12" count="1" selected="0">
            <x v="23"/>
          </reference>
          <reference field="17" count="1">
            <x v="18"/>
          </reference>
          <reference field="26" count="1" selected="0">
            <x v="32"/>
          </reference>
        </references>
      </pivotArea>
    </format>
    <format dxfId="38">
      <pivotArea dataOnly="0" labelOnly="1" fieldPosition="0">
        <references count="9">
          <reference field="0" count="1" selected="0">
            <x v="11"/>
          </reference>
          <reference field="1" count="1" selected="0">
            <x v="29"/>
          </reference>
          <reference field="6" count="1" selected="0">
            <x v="27"/>
          </reference>
          <reference field="8" count="1" selected="0">
            <x v="0"/>
          </reference>
          <reference field="10" count="1" selected="0">
            <x v="9"/>
          </reference>
          <reference field="11" count="1" selected="0">
            <x v="1"/>
          </reference>
          <reference field="12" count="1" selected="0">
            <x v="49"/>
          </reference>
          <reference field="17" count="1">
            <x v="1"/>
          </reference>
          <reference field="26" count="1" selected="0">
            <x v="23"/>
          </reference>
        </references>
      </pivotArea>
    </format>
    <format dxfId="37">
      <pivotArea dataOnly="0" labelOnly="1" fieldPosition="0">
        <references count="9">
          <reference field="0" count="1" selected="0">
            <x v="12"/>
          </reference>
          <reference field="1" count="1" selected="0">
            <x v="36"/>
          </reference>
          <reference field="6" count="1" selected="0">
            <x v="25"/>
          </reference>
          <reference field="8" count="1" selected="0">
            <x v="0"/>
          </reference>
          <reference field="10" count="1" selected="0">
            <x v="9"/>
          </reference>
          <reference field="11" count="1" selected="0">
            <x v="1"/>
          </reference>
          <reference field="12" count="1" selected="0">
            <x v="37"/>
          </reference>
          <reference field="17" count="1">
            <x v="24"/>
          </reference>
          <reference field="26" count="1" selected="0">
            <x v="23"/>
          </reference>
        </references>
      </pivotArea>
    </format>
    <format dxfId="36">
      <pivotArea dataOnly="0" labelOnly="1" fieldPosition="0">
        <references count="9">
          <reference field="0" count="1" selected="0">
            <x v="13"/>
          </reference>
          <reference field="1" count="1" selected="0">
            <x v="11"/>
          </reference>
          <reference field="6" count="1" selected="0">
            <x v="2"/>
          </reference>
          <reference field="8" count="1" selected="0">
            <x v="1"/>
          </reference>
          <reference field="10" count="1" selected="0">
            <x v="5"/>
          </reference>
          <reference field="11" count="1" selected="0">
            <x v="3"/>
          </reference>
          <reference field="12" count="1" selected="0">
            <x v="47"/>
          </reference>
          <reference field="17" count="1">
            <x v="8"/>
          </reference>
          <reference field="26" count="1" selected="0">
            <x v="5"/>
          </reference>
        </references>
      </pivotArea>
    </format>
    <format dxfId="35">
      <pivotArea dataOnly="0" labelOnly="1" fieldPosition="0">
        <references count="9">
          <reference field="0" count="1" selected="0">
            <x v="14"/>
          </reference>
          <reference field="1" count="1" selected="0">
            <x v="40"/>
          </reference>
          <reference field="6" count="1" selected="0">
            <x v="9"/>
          </reference>
          <reference field="8" count="1" selected="0">
            <x v="0"/>
          </reference>
          <reference field="10" count="1" selected="0">
            <x v="5"/>
          </reference>
          <reference field="11" count="1" selected="0">
            <x v="3"/>
          </reference>
          <reference field="12" count="1" selected="0">
            <x v="36"/>
          </reference>
          <reference field="17" count="1">
            <x v="10"/>
          </reference>
          <reference field="26" count="1" selected="0">
            <x v="11"/>
          </reference>
        </references>
      </pivotArea>
    </format>
    <format dxfId="34">
      <pivotArea dataOnly="0" labelOnly="1" fieldPosition="0">
        <references count="9">
          <reference field="0" count="1" selected="0">
            <x v="15"/>
          </reference>
          <reference field="1" count="1" selected="0">
            <x v="12"/>
          </reference>
          <reference field="6" count="1" selected="0">
            <x v="14"/>
          </reference>
          <reference field="8" count="1" selected="0">
            <x v="1"/>
          </reference>
          <reference field="10" count="1" selected="0">
            <x v="5"/>
          </reference>
          <reference field="11" count="1" selected="0">
            <x v="3"/>
          </reference>
          <reference field="12" count="1" selected="0">
            <x v="4"/>
          </reference>
          <reference field="17" count="1">
            <x v="0"/>
          </reference>
          <reference field="26" count="1" selected="0">
            <x v="15"/>
          </reference>
        </references>
      </pivotArea>
    </format>
    <format dxfId="33">
      <pivotArea dataOnly="0" labelOnly="1" fieldPosition="0">
        <references count="9">
          <reference field="0" count="1" selected="0">
            <x v="16"/>
          </reference>
          <reference field="1" count="1" selected="0">
            <x v="13"/>
          </reference>
          <reference field="6" count="1" selected="0">
            <x v="19"/>
          </reference>
          <reference field="8" count="1" selected="0">
            <x v="1"/>
          </reference>
          <reference field="10" count="1" selected="0">
            <x v="5"/>
          </reference>
          <reference field="11" count="1" selected="0">
            <x v="3"/>
          </reference>
          <reference field="12" count="1" selected="0">
            <x v="42"/>
          </reference>
          <reference field="17" count="1">
            <x v="21"/>
          </reference>
          <reference field="26" count="1" selected="0">
            <x v="18"/>
          </reference>
        </references>
      </pivotArea>
    </format>
    <format dxfId="32">
      <pivotArea dataOnly="0" labelOnly="1" fieldPosition="0">
        <references count="9">
          <reference field="0" count="1" selected="0">
            <x v="17"/>
          </reference>
          <reference field="1" count="1" selected="0">
            <x v="14"/>
          </reference>
          <reference field="6" count="1" selected="0">
            <x v="3"/>
          </reference>
          <reference field="8" count="1" selected="0">
            <x v="1"/>
          </reference>
          <reference field="10" count="1" selected="0">
            <x v="5"/>
          </reference>
          <reference field="11" count="1" selected="0">
            <x v="3"/>
          </reference>
          <reference field="12" count="1" selected="0">
            <x v="44"/>
          </reference>
          <reference field="17" count="1">
            <x v="11"/>
          </reference>
          <reference field="26" count="1" selected="0">
            <x v="5"/>
          </reference>
        </references>
      </pivotArea>
    </format>
    <format dxfId="31">
      <pivotArea dataOnly="0" labelOnly="1" fieldPosition="0">
        <references count="9">
          <reference field="0" count="1" selected="0">
            <x v="18"/>
          </reference>
          <reference field="1" count="1" selected="0">
            <x v="2"/>
          </reference>
          <reference field="6" count="1" selected="0">
            <x v="26"/>
          </reference>
          <reference field="8" count="1" selected="0">
            <x v="0"/>
          </reference>
          <reference field="10" count="1" selected="0">
            <x v="1"/>
          </reference>
          <reference field="11" count="1" selected="0">
            <x v="1"/>
          </reference>
          <reference field="12" count="1" selected="0">
            <x v="31"/>
          </reference>
          <reference field="17" count="1">
            <x v="27"/>
          </reference>
          <reference field="26" count="1" selected="0">
            <x v="23"/>
          </reference>
        </references>
      </pivotArea>
    </format>
    <format dxfId="30">
      <pivotArea dataOnly="0" labelOnly="1" fieldPosition="0">
        <references count="9">
          <reference field="0" count="1" selected="0">
            <x v="19"/>
          </reference>
          <reference field="1" count="1" selected="0">
            <x v="24"/>
          </reference>
          <reference field="6" count="1" selected="0">
            <x v="24"/>
          </reference>
          <reference field="8" count="1" selected="0">
            <x v="1"/>
          </reference>
          <reference field="10" count="1" selected="0">
            <x v="1"/>
          </reference>
          <reference field="11" count="1" selected="0">
            <x v="1"/>
          </reference>
          <reference field="12" count="1" selected="0">
            <x v="12"/>
          </reference>
          <reference field="17" count="1">
            <x v="3"/>
          </reference>
          <reference field="26" count="1" selected="0">
            <x v="22"/>
          </reference>
        </references>
      </pivotArea>
    </format>
    <format dxfId="29">
      <pivotArea dataOnly="0" labelOnly="1" fieldPosition="0">
        <references count="9">
          <reference field="0" count="1" selected="0">
            <x v="20"/>
          </reference>
          <reference field="1" count="1" selected="0">
            <x v="25"/>
          </reference>
          <reference field="6" count="1" selected="0">
            <x v="45"/>
          </reference>
          <reference field="8" count="1" selected="0">
            <x v="1"/>
          </reference>
          <reference field="10" count="1" selected="0">
            <x v="1"/>
          </reference>
          <reference field="11" count="1" selected="0">
            <x v="1"/>
          </reference>
          <reference field="12" count="1" selected="0">
            <x v="35"/>
          </reference>
          <reference field="17" count="1">
            <x v="29"/>
          </reference>
          <reference field="26" count="1" selected="0">
            <x v="42"/>
          </reference>
        </references>
      </pivotArea>
    </format>
    <format dxfId="28">
      <pivotArea dataOnly="0" labelOnly="1" fieldPosition="0">
        <references count="9">
          <reference field="0" count="1" selected="0">
            <x v="21"/>
          </reference>
          <reference field="1" count="1" selected="0">
            <x v="1"/>
          </reference>
          <reference field="6" count="1" selected="0">
            <x v="7"/>
          </reference>
          <reference field="8" count="1" selected="0">
            <x v="0"/>
          </reference>
          <reference field="10" count="1" selected="0">
            <x v="1"/>
          </reference>
          <reference field="11" count="1" selected="0">
            <x v="1"/>
          </reference>
          <reference field="12" count="1" selected="0">
            <x v="25"/>
          </reference>
          <reference field="17" count="1">
            <x v="15"/>
          </reference>
          <reference field="26" count="1" selected="0">
            <x v="10"/>
          </reference>
        </references>
      </pivotArea>
    </format>
    <format dxfId="27">
      <pivotArea dataOnly="0" labelOnly="1" fieldPosition="0">
        <references count="9">
          <reference field="0" count="1" selected="0">
            <x v="22"/>
          </reference>
          <reference field="1" count="1" selected="0">
            <x v="4"/>
          </reference>
          <reference field="6" count="1" selected="0">
            <x v="1"/>
          </reference>
          <reference field="8" count="1" selected="0">
            <x v="0"/>
          </reference>
          <reference field="10" count="1" selected="0">
            <x v="1"/>
          </reference>
          <reference field="11" count="1" selected="0">
            <x v="1"/>
          </reference>
          <reference field="12" count="1" selected="0">
            <x v="46"/>
          </reference>
          <reference field="17" count="1">
            <x v="4"/>
          </reference>
          <reference field="26" count="1" selected="0">
            <x v="1"/>
          </reference>
        </references>
      </pivotArea>
    </format>
    <format dxfId="26">
      <pivotArea dataOnly="0" labelOnly="1" fieldPosition="0">
        <references count="9">
          <reference field="0" count="1" selected="0">
            <x v="23"/>
          </reference>
          <reference field="1" count="1" selected="0">
            <x v="5"/>
          </reference>
          <reference field="6" count="1" selected="0">
            <x v="49"/>
          </reference>
          <reference field="8" count="1" selected="0">
            <x v="0"/>
          </reference>
          <reference field="10" count="1" selected="0">
            <x v="1"/>
          </reference>
          <reference field="11" count="1" selected="0">
            <x v="1"/>
          </reference>
          <reference field="12" count="1" selected="0">
            <x v="3"/>
          </reference>
          <reference field="17" count="1">
            <x v="7"/>
          </reference>
          <reference field="26" count="1" selected="0">
            <x v="45"/>
          </reference>
        </references>
      </pivotArea>
    </format>
    <format dxfId="25">
      <pivotArea dataOnly="0" labelOnly="1" fieldPosition="0">
        <references count="9">
          <reference field="0" count="1" selected="0">
            <x v="24"/>
          </reference>
          <reference field="1" count="1" selected="0">
            <x v="6"/>
          </reference>
          <reference field="6" count="1" selected="0">
            <x v="11"/>
          </reference>
          <reference field="8" count="1" selected="0">
            <x v="0"/>
          </reference>
          <reference field="10" count="1" selected="0">
            <x v="1"/>
          </reference>
          <reference field="11" count="1" selected="0">
            <x v="1"/>
          </reference>
          <reference field="12" count="1" selected="0">
            <x v="1"/>
          </reference>
          <reference field="17" count="1">
            <x v="12"/>
          </reference>
          <reference field="26" count="1" selected="0">
            <x v="12"/>
          </reference>
        </references>
      </pivotArea>
    </format>
    <format dxfId="24">
      <pivotArea dataOnly="0" labelOnly="1" fieldPosition="0">
        <references count="9">
          <reference field="0" count="1" selected="0">
            <x v="25"/>
          </reference>
          <reference field="1" count="1" selected="0">
            <x v="35"/>
          </reference>
          <reference field="6" count="1" selected="0">
            <x v="28"/>
          </reference>
          <reference field="8" count="1" selected="0">
            <x v="0"/>
          </reference>
          <reference field="10" count="1" selected="0">
            <x v="1"/>
          </reference>
          <reference field="11" count="1" selected="0">
            <x v="1"/>
          </reference>
          <reference field="12" count="1" selected="0">
            <x v="34"/>
          </reference>
          <reference field="17" count="1">
            <x v="13"/>
          </reference>
          <reference field="26" count="1" selected="0">
            <x v="24"/>
          </reference>
        </references>
      </pivotArea>
    </format>
    <format dxfId="23">
      <pivotArea dataOnly="0" labelOnly="1" fieldPosition="0">
        <references count="9">
          <reference field="0" count="1" selected="0">
            <x v="26"/>
          </reference>
          <reference field="1" count="1" selected="0">
            <x v="9"/>
          </reference>
          <reference field="6" count="1" selected="0">
            <x v="16"/>
          </reference>
          <reference field="8" count="1" selected="0">
            <x v="1"/>
          </reference>
          <reference field="10" count="1" selected="0">
            <x v="2"/>
          </reference>
          <reference field="11" count="1" selected="0">
            <x v="3"/>
          </reference>
          <reference field="12" count="1" selected="0">
            <x v="48"/>
          </reference>
          <reference field="17" count="1">
            <x v="30"/>
          </reference>
          <reference field="26" count="1" selected="0">
            <x v="16"/>
          </reference>
        </references>
      </pivotArea>
    </format>
    <format dxfId="22">
      <pivotArea dataOnly="0" labelOnly="1" fieldPosition="0">
        <references count="9">
          <reference field="0" count="1" selected="0">
            <x v="27"/>
          </reference>
          <reference field="1" count="1" selected="0">
            <x v="10"/>
          </reference>
          <reference field="6" count="1" selected="0">
            <x v="32"/>
          </reference>
          <reference field="8" count="1" selected="0">
            <x v="1"/>
          </reference>
          <reference field="10" count="1" selected="0">
            <x v="2"/>
          </reference>
          <reference field="11" count="1" selected="0">
            <x v="3"/>
          </reference>
          <reference field="12" count="1" selected="0">
            <x v="14"/>
          </reference>
          <reference field="17" count="1">
            <x v="24"/>
          </reference>
          <reference field="26" count="1" selected="0">
            <x v="28"/>
          </reference>
        </references>
      </pivotArea>
    </format>
    <format dxfId="21">
      <pivotArea dataOnly="0" labelOnly="1" fieldPosition="0">
        <references count="9">
          <reference field="0" count="1" selected="0">
            <x v="28"/>
          </reference>
          <reference field="1" count="1" selected="0">
            <x v="39"/>
          </reference>
          <reference field="6" count="1" selected="0">
            <x v="44"/>
          </reference>
          <reference field="8" count="1" selected="0">
            <x v="0"/>
          </reference>
          <reference field="10" count="1" selected="0">
            <x v="2"/>
          </reference>
          <reference field="11" count="1" selected="0">
            <x v="3"/>
          </reference>
          <reference field="12" count="1" selected="0">
            <x v="32"/>
          </reference>
          <reference field="17" count="1">
            <x v="12"/>
          </reference>
          <reference field="26" count="1" selected="0">
            <x v="40"/>
          </reference>
        </references>
      </pivotArea>
    </format>
    <format dxfId="20">
      <pivotArea dataOnly="0" labelOnly="1" fieldPosition="0">
        <references count="9">
          <reference field="0" count="1" selected="0">
            <x v="29"/>
          </reference>
          <reference field="1" count="1" selected="0">
            <x v="23"/>
          </reference>
          <reference field="6" count="1" selected="0">
            <x v="29"/>
          </reference>
          <reference field="8" count="1" selected="0">
            <x v="0"/>
          </reference>
          <reference field="10" count="1" selected="0">
            <x v="4"/>
          </reference>
          <reference field="11" count="1" selected="0">
            <x v="2"/>
          </reference>
          <reference field="12" count="1" selected="0">
            <x v="22"/>
          </reference>
          <reference field="17" count="1">
            <x v="19"/>
          </reference>
          <reference field="26" count="1" selected="0">
            <x v="25"/>
          </reference>
        </references>
      </pivotArea>
    </format>
    <format dxfId="19">
      <pivotArea dataOnly="0" labelOnly="1" fieldPosition="0">
        <references count="9">
          <reference field="0" count="1" selected="0">
            <x v="30"/>
          </reference>
          <reference field="1" count="1" selected="0">
            <x v="22"/>
          </reference>
          <reference field="6" count="1" selected="0">
            <x v="39"/>
          </reference>
          <reference field="8" count="1" selected="0">
            <x v="0"/>
          </reference>
          <reference field="10" count="1" selected="0">
            <x v="4"/>
          </reference>
          <reference field="11" count="1" selected="0">
            <x v="2"/>
          </reference>
          <reference field="12" count="1" selected="0">
            <x v="8"/>
          </reference>
          <reference field="17" count="1">
            <x v="30"/>
          </reference>
          <reference field="26" count="1" selected="0">
            <x v="35"/>
          </reference>
        </references>
      </pivotArea>
    </format>
    <format dxfId="18">
      <pivotArea dataOnly="0" labelOnly="1" fieldPosition="0">
        <references count="9">
          <reference field="0" count="1" selected="0">
            <x v="31"/>
          </reference>
          <reference field="1" count="1" selected="0">
            <x v="21"/>
          </reference>
          <reference field="6" count="1" selected="0">
            <x v="17"/>
          </reference>
          <reference field="8" count="1" selected="0">
            <x v="0"/>
          </reference>
          <reference field="10" count="1" selected="0">
            <x v="4"/>
          </reference>
          <reference field="11" count="1" selected="0">
            <x v="2"/>
          </reference>
          <reference field="12" count="1" selected="0">
            <x v="6"/>
          </reference>
          <reference field="17" count="1">
            <x v="4"/>
          </reference>
          <reference field="26" count="1" selected="0">
            <x v="16"/>
          </reference>
        </references>
      </pivotArea>
    </format>
    <format dxfId="17">
      <pivotArea dataOnly="0" labelOnly="1" fieldPosition="0">
        <references count="9">
          <reference field="0" count="1" selected="0">
            <x v="32"/>
          </reference>
          <reference field="1" count="1" selected="0">
            <x v="19"/>
          </reference>
          <reference field="6" count="1" selected="0">
            <x v="30"/>
          </reference>
          <reference field="8" count="1" selected="0">
            <x v="1"/>
          </reference>
          <reference field="10" count="1" selected="0">
            <x v="4"/>
          </reference>
          <reference field="11" count="1" selected="0">
            <x v="2"/>
          </reference>
          <reference field="12" count="1" selected="0">
            <x v="45"/>
          </reference>
          <reference field="17" count="1">
            <x v="14"/>
          </reference>
          <reference field="26" count="1" selected="0">
            <x v="26"/>
          </reference>
        </references>
      </pivotArea>
    </format>
    <format dxfId="16">
      <pivotArea dataOnly="0" labelOnly="1" fieldPosition="0">
        <references count="9">
          <reference field="0" count="1" selected="0">
            <x v="33"/>
          </reference>
          <reference field="1" count="1" selected="0">
            <x v="20"/>
          </reference>
          <reference field="6" count="1" selected="0">
            <x v="31"/>
          </reference>
          <reference field="8" count="1" selected="0">
            <x v="1"/>
          </reference>
          <reference field="10" count="1" selected="0">
            <x v="4"/>
          </reference>
          <reference field="11" count="1" selected="0">
            <x v="2"/>
          </reference>
          <reference field="12" count="1" selected="0">
            <x v="17"/>
          </reference>
          <reference field="17" count="1">
            <x v="29"/>
          </reference>
          <reference field="26" count="1" selected="0">
            <x v="27"/>
          </reference>
        </references>
      </pivotArea>
    </format>
    <format dxfId="15">
      <pivotArea dataOnly="0" labelOnly="1" fieldPosition="0">
        <references count="9">
          <reference field="0" count="1" selected="0">
            <x v="34"/>
          </reference>
          <reference field="1" count="1" selected="0">
            <x v="16"/>
          </reference>
          <reference field="6" count="1" selected="0">
            <x v="0"/>
          </reference>
          <reference field="8" count="1" selected="0">
            <x v="1"/>
          </reference>
          <reference field="10" count="1" selected="0">
            <x v="4"/>
          </reference>
          <reference field="11" count="1" selected="0">
            <x v="2"/>
          </reference>
          <reference field="12" count="1" selected="0">
            <x v="16"/>
          </reference>
          <reference field="17" count="1">
            <x v="22"/>
          </reference>
          <reference field="26" count="1" selected="0">
            <x v="1"/>
          </reference>
        </references>
      </pivotArea>
    </format>
    <format dxfId="14">
      <pivotArea dataOnly="0" labelOnly="1" fieldPosition="0">
        <references count="9">
          <reference field="0" count="1" selected="0">
            <x v="35"/>
          </reference>
          <reference field="1" count="1" selected="0">
            <x v="17"/>
          </reference>
          <reference field="6" count="1" selected="0">
            <x v="22"/>
          </reference>
          <reference field="8" count="1" selected="0">
            <x v="1"/>
          </reference>
          <reference field="10" count="1" selected="0">
            <x v="4"/>
          </reference>
          <reference field="11" count="1" selected="0">
            <x v="2"/>
          </reference>
          <reference field="12" count="1" selected="0">
            <x v="15"/>
          </reference>
          <reference field="17" count="1">
            <x v="29"/>
          </reference>
          <reference field="26" count="1" selected="0">
            <x v="21"/>
          </reference>
        </references>
      </pivotArea>
    </format>
    <format dxfId="13">
      <pivotArea dataOnly="0" labelOnly="1" fieldPosition="0">
        <references count="9">
          <reference field="0" count="1" selected="0">
            <x v="36"/>
          </reference>
          <reference field="1" count="1" selected="0">
            <x v="15"/>
          </reference>
          <reference field="6" count="1" selected="0">
            <x v="35"/>
          </reference>
          <reference field="8" count="1" selected="0">
            <x v="1"/>
          </reference>
          <reference field="10" count="1" selected="0">
            <x v="4"/>
          </reference>
          <reference field="11" count="1" selected="0">
            <x v="2"/>
          </reference>
          <reference field="12" count="1" selected="0">
            <x v="20"/>
          </reference>
          <reference field="17" count="1">
            <x v="25"/>
          </reference>
          <reference field="26" count="1" selected="0">
            <x v="32"/>
          </reference>
        </references>
      </pivotArea>
    </format>
    <format dxfId="12">
      <pivotArea dataOnly="0" labelOnly="1" fieldPosition="0">
        <references count="9">
          <reference field="0" count="1" selected="0">
            <x v="37"/>
          </reference>
          <reference field="1" count="1" selected="0">
            <x v="18"/>
          </reference>
          <reference field="6" count="1" selected="0">
            <x v="33"/>
          </reference>
          <reference field="8" count="1" selected="0">
            <x v="1"/>
          </reference>
          <reference field="10" count="1" selected="0">
            <x v="4"/>
          </reference>
          <reference field="11" count="1" selected="0">
            <x v="2"/>
          </reference>
          <reference field="12" count="1" selected="0">
            <x v="13"/>
          </reference>
          <reference field="17" count="1">
            <x v="13"/>
          </reference>
          <reference field="26" count="1" selected="0">
            <x v="29"/>
          </reference>
        </references>
      </pivotArea>
    </format>
    <format dxfId="11">
      <pivotArea dataOnly="0" labelOnly="1" fieldPosition="0">
        <references count="9">
          <reference field="0" count="1" selected="0">
            <x v="38"/>
          </reference>
          <reference field="1" count="1" selected="0">
            <x v="44"/>
          </reference>
          <reference field="6" count="1" selected="0">
            <x v="34"/>
          </reference>
          <reference field="8" count="1" selected="0">
            <x v="1"/>
          </reference>
          <reference field="10" count="1" selected="0">
            <x v="0"/>
          </reference>
          <reference field="11" count="1" selected="0">
            <x v="5"/>
          </reference>
          <reference field="12" count="1" selected="0">
            <x v="43"/>
          </reference>
          <reference field="17" count="1">
            <x v="7"/>
          </reference>
          <reference field="26" count="1" selected="0">
            <x v="30"/>
          </reference>
        </references>
      </pivotArea>
    </format>
    <format dxfId="10">
      <pivotArea dataOnly="0" labelOnly="1" fieldPosition="0">
        <references count="9">
          <reference field="0" count="1" selected="0">
            <x v="39"/>
          </reference>
          <reference field="1" count="1" selected="0">
            <x v="43"/>
          </reference>
          <reference field="6" count="1" selected="0">
            <x v="38"/>
          </reference>
          <reference field="8" count="1" selected="0">
            <x v="1"/>
          </reference>
          <reference field="10" count="1" selected="0">
            <x v="0"/>
          </reference>
          <reference field="11" count="1" selected="0">
            <x v="5"/>
          </reference>
          <reference field="12" count="1" selected="0">
            <x v="28"/>
          </reference>
          <reference field="17" count="1">
            <x v="4"/>
          </reference>
          <reference field="26" count="1" selected="0">
            <x v="34"/>
          </reference>
        </references>
      </pivotArea>
    </format>
    <format dxfId="9">
      <pivotArea dataOnly="0" labelOnly="1" fieldPosition="0">
        <references count="9">
          <reference field="0" count="1" selected="0">
            <x v="40"/>
          </reference>
          <reference field="1" count="1" selected="0">
            <x v="49"/>
          </reference>
          <reference field="6" count="1" selected="0">
            <x v="21"/>
          </reference>
          <reference field="8" count="1" selected="0">
            <x v="0"/>
          </reference>
          <reference field="10" count="1" selected="0">
            <x v="0"/>
          </reference>
          <reference field="11" count="1" selected="0">
            <x v="5"/>
          </reference>
          <reference field="12" count="1" selected="0">
            <x v="24"/>
          </reference>
          <reference field="17" count="1">
            <x v="2"/>
          </reference>
          <reference field="26" count="1" selected="0">
            <x v="20"/>
          </reference>
        </references>
      </pivotArea>
    </format>
    <format dxfId="8">
      <pivotArea dataOnly="0" labelOnly="1" fieldPosition="0">
        <references count="9">
          <reference field="0" count="1" selected="0">
            <x v="41"/>
          </reference>
          <reference field="1" count="1" selected="0">
            <x v="46"/>
          </reference>
          <reference field="6" count="1" selected="0">
            <x v="40"/>
          </reference>
          <reference field="8" count="1" selected="0">
            <x v="0"/>
          </reference>
          <reference field="10" count="1" selected="0">
            <x v="7"/>
          </reference>
          <reference field="11" count="1" selected="0">
            <x v="5"/>
          </reference>
          <reference field="12" count="1" selected="0">
            <x v="11"/>
          </reference>
          <reference field="17" count="1">
            <x v="20"/>
          </reference>
          <reference field="26" count="1" selected="0">
            <x v="36"/>
          </reference>
        </references>
      </pivotArea>
    </format>
    <format dxfId="7">
      <pivotArea dataOnly="0" labelOnly="1" fieldPosition="0">
        <references count="9">
          <reference field="0" count="1" selected="0">
            <x v="42"/>
          </reference>
          <reference field="1" count="1" selected="0">
            <x v="48"/>
          </reference>
          <reference field="6" count="1" selected="0">
            <x v="4"/>
          </reference>
          <reference field="8" count="1" selected="0">
            <x v="0"/>
          </reference>
          <reference field="10" count="1" selected="0">
            <x v="7"/>
          </reference>
          <reference field="11" count="1" selected="0">
            <x v="5"/>
          </reference>
          <reference field="12" count="1" selected="0">
            <x v="2"/>
          </reference>
          <reference field="17" count="1">
            <x v="7"/>
          </reference>
          <reference field="26" count="1" selected="0">
            <x v="6"/>
          </reference>
        </references>
      </pivotArea>
    </format>
    <format dxfId="6">
      <pivotArea dataOnly="0" labelOnly="1" fieldPosition="0">
        <references count="9">
          <reference field="0" count="1" selected="0">
            <x v="43"/>
          </reference>
          <reference field="1" count="1" selected="0">
            <x v="47"/>
          </reference>
          <reference field="6" count="1" selected="0">
            <x v="10"/>
          </reference>
          <reference field="8" count="1" selected="0">
            <x v="0"/>
          </reference>
          <reference field="10" count="1" selected="0">
            <x v="7"/>
          </reference>
          <reference field="11" count="1" selected="0">
            <x v="5"/>
          </reference>
          <reference field="12" count="1" selected="0">
            <x v="21"/>
          </reference>
          <reference field="17" count="1">
            <x v="2"/>
          </reference>
          <reference field="26" count="1" selected="0">
            <x v="11"/>
          </reference>
        </references>
      </pivotArea>
    </format>
    <format dxfId="5">
      <pivotArea dataOnly="0" labelOnly="1" fieldPosition="0">
        <references count="9">
          <reference field="0" count="1" selected="0">
            <x v="44"/>
          </reference>
          <reference field="1" count="1" selected="0">
            <x v="38"/>
          </reference>
          <reference field="6" count="1" selected="0">
            <x v="5"/>
          </reference>
          <reference field="8" count="1" selected="0">
            <x v="0"/>
          </reference>
          <reference field="10" count="1" selected="0">
            <x v="6"/>
          </reference>
          <reference field="11" count="1" selected="0">
            <x v="0"/>
          </reference>
          <reference field="12" count="1" selected="0">
            <x v="29"/>
          </reference>
          <reference field="17" count="1">
            <x v="23"/>
          </reference>
          <reference field="26" count="1" selected="0">
            <x v="6"/>
          </reference>
        </references>
      </pivotArea>
    </format>
    <format dxfId="4">
      <pivotArea dataOnly="0" labelOnly="1" fieldPosition="0">
        <references count="9">
          <reference field="0" count="1" selected="0">
            <x v="45"/>
          </reference>
          <reference field="1" count="1" selected="0">
            <x v="0"/>
          </reference>
          <reference field="6" count="1" selected="0">
            <x v="20"/>
          </reference>
          <reference field="8" count="1" selected="0">
            <x v="1"/>
          </reference>
          <reference field="10" count="1" selected="0">
            <x v="6"/>
          </reference>
          <reference field="11" count="1" selected="0">
            <x v="0"/>
          </reference>
          <reference field="12" count="1" selected="0">
            <x v="27"/>
          </reference>
          <reference field="17" count="1">
            <x v="4"/>
          </reference>
          <reference field="26" count="1" selected="0">
            <x v="19"/>
          </reference>
        </references>
      </pivotArea>
    </format>
    <format dxfId="3">
      <pivotArea dataOnly="0" labelOnly="1" fieldPosition="0">
        <references count="9">
          <reference field="0" count="1" selected="0">
            <x v="46"/>
          </reference>
          <reference field="1" count="1" selected="0">
            <x v="37"/>
          </reference>
          <reference field="6" count="1" selected="0">
            <x v="12"/>
          </reference>
          <reference field="8" count="1" selected="0">
            <x v="0"/>
          </reference>
          <reference field="10" count="1" selected="0">
            <x v="6"/>
          </reference>
          <reference field="11" count="1" selected="0">
            <x v="0"/>
          </reference>
          <reference field="12" count="1" selected="0">
            <x v="33"/>
          </reference>
          <reference field="17" count="1">
            <x v="4"/>
          </reference>
          <reference field="26" count="1" selected="0">
            <x v="14"/>
          </reference>
        </references>
      </pivotArea>
    </format>
    <format dxfId="2">
      <pivotArea dataOnly="0" labelOnly="1" fieldPosition="0">
        <references count="9">
          <reference field="0" count="1" selected="0">
            <x v="47"/>
          </reference>
          <reference field="1" count="1" selected="0">
            <x v="7"/>
          </reference>
          <reference field="6" count="1" selected="0">
            <x v="46"/>
          </reference>
          <reference field="8" count="1" selected="0">
            <x v="0"/>
          </reference>
          <reference field="10" count="1" selected="0">
            <x v="8"/>
          </reference>
          <reference field="11" count="1" selected="0">
            <x v="6"/>
          </reference>
          <reference field="12" count="1" selected="0">
            <x v="40"/>
          </reference>
          <reference field="17" count="1">
            <x v="17"/>
          </reference>
          <reference field="26" count="1" selected="0">
            <x v="43"/>
          </reference>
        </references>
      </pivotArea>
    </format>
    <format dxfId="1">
      <pivotArea dataOnly="0" labelOnly="1" fieldPosition="0">
        <references count="9">
          <reference field="0" count="1" selected="0">
            <x v="48"/>
          </reference>
          <reference field="1" count="1" selected="0">
            <x v="8"/>
          </reference>
          <reference field="6" count="1" selected="0">
            <x v="37"/>
          </reference>
          <reference field="8" count="1" selected="0">
            <x v="1"/>
          </reference>
          <reference field="10" count="1" selected="0">
            <x v="8"/>
          </reference>
          <reference field="11" count="1" selected="0">
            <x v="6"/>
          </reference>
          <reference field="12" count="1" selected="0">
            <x v="26"/>
          </reference>
          <reference field="17" count="1">
            <x v="5"/>
          </reference>
          <reference field="26" count="1" selected="0">
            <x v="33"/>
          </reference>
        </references>
      </pivotArea>
    </format>
    <format dxfId="0">
      <pivotArea dataOnly="0" labelOnly="1" fieldPosition="0">
        <references count="9">
          <reference field="0" count="1" selected="0">
            <x v="49"/>
          </reference>
          <reference field="1" count="1" selected="0">
            <x v="42"/>
          </reference>
          <reference field="6" count="1" selected="0">
            <x v="43"/>
          </reference>
          <reference field="8" count="1" selected="0">
            <x v="1"/>
          </reference>
          <reference field="10" count="1" selected="0">
            <x v="3"/>
          </reference>
          <reference field="11" count="1" selected="0">
            <x v="4"/>
          </reference>
          <reference field="12" count="1" selected="0">
            <x v="39"/>
          </reference>
          <reference field="17" count="1">
            <x v="28"/>
          </reference>
          <reference field="26" count="1" selected="0">
            <x v="3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topLeftCell="D1" zoomScale="110" zoomScaleNormal="110" workbookViewId="0"/>
  </sheetViews>
  <sheetFormatPr defaultRowHeight="15" x14ac:dyDescent="0.25"/>
  <cols>
    <col min="1" max="1" width="1" customWidth="1"/>
    <col min="2" max="2" width="5.5703125" bestFit="1" customWidth="1"/>
    <col min="3" max="3" width="13.42578125" bestFit="1" customWidth="1"/>
    <col min="4" max="4" width="14.42578125" customWidth="1"/>
    <col min="5" max="5" width="145.140625" bestFit="1" customWidth="1"/>
  </cols>
  <sheetData>
    <row r="1" spans="2:5" ht="5.25" customHeight="1" thickBot="1" x14ac:dyDescent="0.3"/>
    <row r="2" spans="2:5" ht="16.5" customHeight="1" x14ac:dyDescent="0.25">
      <c r="B2" s="51" t="s">
        <v>252</v>
      </c>
      <c r="C2" s="52"/>
      <c r="D2" s="53"/>
      <c r="E2" s="57" t="s">
        <v>232</v>
      </c>
    </row>
    <row r="3" spans="2:5" ht="42" customHeight="1" thickBot="1" x14ac:dyDescent="0.3">
      <c r="B3" s="54"/>
      <c r="C3" s="55"/>
      <c r="D3" s="56"/>
      <c r="E3" s="58"/>
    </row>
    <row r="4" spans="2:5" ht="8.25" customHeight="1" x14ac:dyDescent="0.25"/>
    <row r="5" spans="2:5" ht="19.5" customHeight="1" thickBot="1" x14ac:dyDescent="0.3">
      <c r="C5" s="9" t="s">
        <v>226</v>
      </c>
      <c r="D5" s="9" t="s">
        <v>223</v>
      </c>
      <c r="E5" s="10" t="s">
        <v>224</v>
      </c>
    </row>
    <row r="6" spans="2:5" ht="19.5" customHeight="1" thickBot="1" x14ac:dyDescent="0.3">
      <c r="B6" s="20" t="s">
        <v>135</v>
      </c>
      <c r="C6" s="49" t="s">
        <v>225</v>
      </c>
      <c r="D6" s="49"/>
      <c r="E6" s="50"/>
    </row>
    <row r="7" spans="2:5" x14ac:dyDescent="0.25">
      <c r="B7" s="19">
        <v>1</v>
      </c>
      <c r="C7" s="11" t="s">
        <v>234</v>
      </c>
      <c r="D7" s="12" t="s">
        <v>229</v>
      </c>
      <c r="E7" s="13" t="s">
        <v>220</v>
      </c>
    </row>
    <row r="8" spans="2:5" x14ac:dyDescent="0.25">
      <c r="B8" s="12">
        <v>2</v>
      </c>
      <c r="C8" s="11" t="s">
        <v>234</v>
      </c>
      <c r="D8" s="12" t="s">
        <v>230</v>
      </c>
      <c r="E8" s="13" t="s">
        <v>235</v>
      </c>
    </row>
    <row r="9" spans="2:5" x14ac:dyDescent="0.25">
      <c r="B9" s="12">
        <v>3</v>
      </c>
      <c r="C9" s="11" t="s">
        <v>234</v>
      </c>
      <c r="D9" s="12" t="s">
        <v>231</v>
      </c>
      <c r="E9" s="13" t="s">
        <v>236</v>
      </c>
    </row>
    <row r="10" spans="2:5" ht="25.5" x14ac:dyDescent="0.25">
      <c r="B10" s="12">
        <v>4</v>
      </c>
      <c r="C10" s="11" t="s">
        <v>234</v>
      </c>
      <c r="D10" s="12" t="s">
        <v>237</v>
      </c>
      <c r="E10" s="31" t="s">
        <v>282</v>
      </c>
    </row>
    <row r="11" spans="2:5" ht="15.75" thickBot="1" x14ac:dyDescent="0.3">
      <c r="B11" s="15">
        <v>5</v>
      </c>
      <c r="C11" s="14" t="s">
        <v>234</v>
      </c>
      <c r="D11" s="15" t="s">
        <v>240</v>
      </c>
      <c r="E11" s="16" t="s">
        <v>241</v>
      </c>
    </row>
    <row r="12" spans="2:5" ht="16.5" thickTop="1" thickBot="1" x14ac:dyDescent="0.3"/>
    <row r="13" spans="2:5" ht="19.5" customHeight="1" thickBot="1" x14ac:dyDescent="0.3">
      <c r="B13" s="20" t="s">
        <v>135</v>
      </c>
      <c r="C13" s="49" t="s">
        <v>242</v>
      </c>
      <c r="D13" s="49"/>
      <c r="E13" s="50"/>
    </row>
    <row r="14" spans="2:5" x14ac:dyDescent="0.25">
      <c r="B14" s="19">
        <v>1</v>
      </c>
      <c r="C14" s="12" t="s">
        <v>234</v>
      </c>
      <c r="D14" s="12" t="s">
        <v>243</v>
      </c>
      <c r="E14" s="17" t="s">
        <v>244</v>
      </c>
    </row>
    <row r="15" spans="2:5" x14ac:dyDescent="0.25">
      <c r="B15" s="12">
        <v>2</v>
      </c>
      <c r="C15" s="12" t="s">
        <v>234</v>
      </c>
      <c r="D15" s="12" t="s">
        <v>245</v>
      </c>
      <c r="E15" s="17" t="s">
        <v>249</v>
      </c>
    </row>
    <row r="16" spans="2:5" x14ac:dyDescent="0.25">
      <c r="B16" s="12">
        <v>3</v>
      </c>
      <c r="C16" s="12" t="s">
        <v>234</v>
      </c>
      <c r="D16" s="12" t="s">
        <v>247</v>
      </c>
      <c r="E16" s="17" t="s">
        <v>248</v>
      </c>
    </row>
    <row r="17" spans="2:5" ht="51.75" thickBot="1" x14ac:dyDescent="0.3">
      <c r="B17" s="15">
        <v>4</v>
      </c>
      <c r="C17" s="15" t="s">
        <v>234</v>
      </c>
      <c r="D17" s="15" t="s">
        <v>250</v>
      </c>
      <c r="E17" s="18" t="s">
        <v>251</v>
      </c>
    </row>
    <row r="18" spans="2:5" ht="15.75" thickTop="1" x14ac:dyDescent="0.25"/>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topLeftCell="A7" zoomScaleNormal="100" workbookViewId="0"/>
  </sheetViews>
  <sheetFormatPr defaultRowHeight="15" x14ac:dyDescent="0.25"/>
  <cols>
    <col min="1" max="1" width="1" customWidth="1"/>
    <col min="2" max="2" width="5.5703125" bestFit="1" customWidth="1"/>
    <col min="3" max="3" width="13.42578125" bestFit="1" customWidth="1"/>
    <col min="4" max="4" width="14.42578125" customWidth="1"/>
    <col min="5" max="5" width="145.140625" bestFit="1" customWidth="1"/>
  </cols>
  <sheetData>
    <row r="1" spans="2:5" ht="5.25" customHeight="1" thickBot="1" x14ac:dyDescent="0.3"/>
    <row r="2" spans="2:5" ht="16.5" customHeight="1" x14ac:dyDescent="0.25">
      <c r="B2" s="51" t="s">
        <v>253</v>
      </c>
      <c r="C2" s="52"/>
      <c r="D2" s="53"/>
      <c r="E2" s="57" t="s">
        <v>232</v>
      </c>
    </row>
    <row r="3" spans="2:5" ht="42" customHeight="1" thickBot="1" x14ac:dyDescent="0.3">
      <c r="B3" s="54"/>
      <c r="C3" s="55"/>
      <c r="D3" s="56"/>
      <c r="E3" s="58"/>
    </row>
    <row r="4" spans="2:5" ht="8.25" customHeight="1" x14ac:dyDescent="0.25"/>
    <row r="5" spans="2:5" ht="27" customHeight="1" x14ac:dyDescent="0.25">
      <c r="B5" s="23" t="s">
        <v>260</v>
      </c>
      <c r="C5" s="22"/>
      <c r="D5" s="21"/>
      <c r="E5" s="21"/>
    </row>
    <row r="6" spans="2:5" ht="19.5" customHeight="1" thickBot="1" x14ac:dyDescent="0.3">
      <c r="C6" s="9" t="s">
        <v>226</v>
      </c>
      <c r="D6" s="9" t="s">
        <v>257</v>
      </c>
      <c r="E6" s="10" t="s">
        <v>224</v>
      </c>
    </row>
    <row r="7" spans="2:5" ht="19.5" customHeight="1" thickBot="1" x14ac:dyDescent="0.3">
      <c r="B7" s="20" t="s">
        <v>135</v>
      </c>
      <c r="C7" s="49" t="s">
        <v>254</v>
      </c>
      <c r="D7" s="49"/>
      <c r="E7" s="50"/>
    </row>
    <row r="8" spans="2:5" x14ac:dyDescent="0.25">
      <c r="B8" s="19">
        <v>1</v>
      </c>
      <c r="C8" s="11" t="s">
        <v>256</v>
      </c>
      <c r="D8" s="12" t="s">
        <v>258</v>
      </c>
      <c r="E8" s="17" t="s">
        <v>259</v>
      </c>
    </row>
    <row r="9" spans="2:5" x14ac:dyDescent="0.25">
      <c r="B9" s="12">
        <v>2</v>
      </c>
      <c r="C9" s="11" t="s">
        <v>256</v>
      </c>
      <c r="D9" s="12"/>
      <c r="E9" s="17" t="s">
        <v>261</v>
      </c>
    </row>
    <row r="10" spans="2:5" x14ac:dyDescent="0.25">
      <c r="B10" s="12">
        <v>3</v>
      </c>
      <c r="C10" s="11" t="s">
        <v>256</v>
      </c>
      <c r="D10" s="12"/>
      <c r="E10" s="17" t="s">
        <v>262</v>
      </c>
    </row>
    <row r="11" spans="2:5" x14ac:dyDescent="0.25">
      <c r="B11" s="12">
        <v>4</v>
      </c>
      <c r="C11" s="11" t="s">
        <v>256</v>
      </c>
      <c r="D11" s="12"/>
      <c r="E11" s="17" t="s">
        <v>263</v>
      </c>
    </row>
    <row r="12" spans="2:5" ht="15.75" thickBot="1" x14ac:dyDescent="0.3">
      <c r="B12" s="15">
        <v>5</v>
      </c>
      <c r="C12" s="14" t="s">
        <v>256</v>
      </c>
      <c r="D12" s="15"/>
      <c r="E12" s="18" t="s">
        <v>264</v>
      </c>
    </row>
    <row r="13" spans="2:5" ht="16.5" thickTop="1" thickBot="1" x14ac:dyDescent="0.3"/>
    <row r="14" spans="2:5" ht="19.5" customHeight="1" thickBot="1" x14ac:dyDescent="0.3">
      <c r="B14" s="20" t="s">
        <v>135</v>
      </c>
      <c r="C14" s="49" t="s">
        <v>255</v>
      </c>
      <c r="D14" s="49"/>
      <c r="E14" s="50"/>
    </row>
    <row r="15" spans="2:5" x14ac:dyDescent="0.25">
      <c r="B15" s="19">
        <v>1</v>
      </c>
      <c r="C15" s="11" t="s">
        <v>256</v>
      </c>
      <c r="D15" s="12" t="s">
        <v>265</v>
      </c>
      <c r="E15" s="17" t="s">
        <v>273</v>
      </c>
    </row>
    <row r="16" spans="2:5" x14ac:dyDescent="0.25">
      <c r="B16" s="12">
        <v>2</v>
      </c>
      <c r="C16" s="11" t="s">
        <v>256</v>
      </c>
      <c r="D16" s="12" t="s">
        <v>266</v>
      </c>
      <c r="E16" s="17" t="s">
        <v>268</v>
      </c>
    </row>
    <row r="17" spans="2:5" x14ac:dyDescent="0.25">
      <c r="B17" s="12">
        <v>3</v>
      </c>
      <c r="C17" s="11" t="s">
        <v>256</v>
      </c>
      <c r="D17" s="12" t="s">
        <v>267</v>
      </c>
      <c r="E17" s="17" t="s">
        <v>269</v>
      </c>
    </row>
    <row r="18" spans="2:5" ht="15.75" thickBot="1" x14ac:dyDescent="0.3">
      <c r="B18" s="15">
        <v>4</v>
      </c>
      <c r="C18" s="14" t="s">
        <v>256</v>
      </c>
      <c r="D18" s="15" t="s">
        <v>271</v>
      </c>
      <c r="E18" s="18" t="s">
        <v>270</v>
      </c>
    </row>
    <row r="19" spans="2:5" ht="15.75" thickTop="1" x14ac:dyDescent="0.25"/>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heetViews>
  <sheetFormatPr defaultRowHeight="15" x14ac:dyDescent="0.25"/>
  <cols>
    <col min="1" max="1" width="1" customWidth="1"/>
    <col min="2" max="2" width="5.5703125" bestFit="1" customWidth="1"/>
    <col min="3" max="3" width="13.42578125" bestFit="1" customWidth="1"/>
    <col min="4" max="4" width="14.42578125" customWidth="1"/>
    <col min="5" max="5" width="145.140625" bestFit="1" customWidth="1"/>
  </cols>
  <sheetData>
    <row r="1" spans="2:5" ht="5.25" customHeight="1" thickBot="1" x14ac:dyDescent="0.3"/>
    <row r="2" spans="2:5" ht="16.5" customHeight="1" x14ac:dyDescent="0.25">
      <c r="B2" s="51" t="s">
        <v>272</v>
      </c>
      <c r="C2" s="52"/>
      <c r="D2" s="53"/>
      <c r="E2" s="57" t="s">
        <v>232</v>
      </c>
    </row>
    <row r="3" spans="2:5" ht="42" customHeight="1" thickBot="1" x14ac:dyDescent="0.3">
      <c r="B3" s="54"/>
      <c r="C3" s="55"/>
      <c r="D3" s="56"/>
      <c r="E3" s="58"/>
    </row>
    <row r="4" spans="2:5" ht="8.25" customHeight="1" x14ac:dyDescent="0.25"/>
    <row r="5" spans="2:5" ht="27" customHeight="1" x14ac:dyDescent="0.25">
      <c r="B5" s="23" t="s">
        <v>260</v>
      </c>
      <c r="C5" s="22"/>
      <c r="D5" s="21"/>
      <c r="E5" s="21"/>
    </row>
    <row r="6" spans="2:5" ht="19.5" customHeight="1" thickBot="1" x14ac:dyDescent="0.3">
      <c r="C6" s="9" t="s">
        <v>226</v>
      </c>
      <c r="D6" s="9" t="s">
        <v>257</v>
      </c>
      <c r="E6" s="10" t="s">
        <v>224</v>
      </c>
    </row>
    <row r="7" spans="2:5" ht="19.5" customHeight="1" thickBot="1" x14ac:dyDescent="0.3">
      <c r="B7" s="20" t="s">
        <v>135</v>
      </c>
      <c r="C7" s="49" t="s">
        <v>281</v>
      </c>
      <c r="D7" s="49"/>
      <c r="E7" s="50"/>
    </row>
    <row r="8" spans="2:5" x14ac:dyDescent="0.25">
      <c r="B8" s="19">
        <v>1</v>
      </c>
      <c r="C8" s="11" t="s">
        <v>227</v>
      </c>
      <c r="D8" s="12" t="s">
        <v>274</v>
      </c>
      <c r="E8" s="17" t="s">
        <v>275</v>
      </c>
    </row>
    <row r="9" spans="2:5" ht="15" customHeight="1" x14ac:dyDescent="0.25">
      <c r="B9" s="12">
        <v>2</v>
      </c>
      <c r="C9" s="11" t="s">
        <v>227</v>
      </c>
      <c r="D9" s="12"/>
      <c r="E9" s="27" t="s">
        <v>279</v>
      </c>
    </row>
    <row r="10" spans="2:5" x14ac:dyDescent="0.25">
      <c r="B10" s="12">
        <v>3</v>
      </c>
      <c r="C10" s="11" t="s">
        <v>227</v>
      </c>
      <c r="D10" s="12"/>
      <c r="E10" s="17" t="s">
        <v>276</v>
      </c>
    </row>
    <row r="11" spans="2:5" x14ac:dyDescent="0.25">
      <c r="B11" s="12">
        <v>4</v>
      </c>
      <c r="C11" s="11" t="s">
        <v>227</v>
      </c>
      <c r="D11" s="12"/>
      <c r="E11" s="17" t="s">
        <v>277</v>
      </c>
    </row>
    <row r="12" spans="2:5" x14ac:dyDescent="0.25">
      <c r="B12" s="28">
        <v>5</v>
      </c>
      <c r="C12" s="29" t="s">
        <v>227</v>
      </c>
      <c r="D12" s="28"/>
      <c r="E12" s="30" t="s">
        <v>264</v>
      </c>
    </row>
    <row r="13" spans="2:5" ht="15.75" thickBot="1" x14ac:dyDescent="0.3">
      <c r="B13" s="15">
        <v>5</v>
      </c>
      <c r="C13" s="14" t="s">
        <v>227</v>
      </c>
      <c r="D13" s="15" t="s">
        <v>280</v>
      </c>
      <c r="E13" s="18" t="s">
        <v>278</v>
      </c>
    </row>
    <row r="14" spans="2:5" ht="15.75" thickTop="1" x14ac:dyDescent="0.25"/>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3:J16"/>
  <sheetViews>
    <sheetView tabSelected="1" topLeftCell="B1" workbookViewId="0">
      <selection activeCell="N8" sqref="N8"/>
    </sheetView>
  </sheetViews>
  <sheetFormatPr defaultRowHeight="15" x14ac:dyDescent="0.25"/>
  <cols>
    <col min="2" max="2" width="16.42578125" bestFit="1" customWidth="1"/>
    <col min="3" max="3" width="16.28515625" bestFit="1" customWidth="1"/>
    <col min="4" max="4" width="5.5703125" bestFit="1" customWidth="1"/>
    <col min="5" max="5" width="11.28515625" bestFit="1" customWidth="1"/>
    <col min="6" max="6" width="16.42578125" bestFit="1" customWidth="1"/>
    <col min="7" max="7" width="24.42578125" bestFit="1" customWidth="1"/>
  </cols>
  <sheetData>
    <row r="3" spans="2:10" x14ac:dyDescent="0.25">
      <c r="B3" s="39" t="s">
        <v>287</v>
      </c>
      <c r="C3" s="39" t="s">
        <v>284</v>
      </c>
    </row>
    <row r="4" spans="2:10" x14ac:dyDescent="0.25">
      <c r="B4" s="39" t="s">
        <v>286</v>
      </c>
      <c r="C4" t="s">
        <v>138</v>
      </c>
      <c r="D4" t="s">
        <v>142</v>
      </c>
      <c r="E4" t="s">
        <v>285</v>
      </c>
      <c r="H4" s="59" t="s">
        <v>170</v>
      </c>
      <c r="I4" s="60"/>
      <c r="J4" s="61"/>
    </row>
    <row r="5" spans="2:10" x14ac:dyDescent="0.25">
      <c r="B5" s="1" t="s">
        <v>159</v>
      </c>
      <c r="C5">
        <v>1</v>
      </c>
      <c r="D5">
        <v>2</v>
      </c>
      <c r="E5">
        <v>3</v>
      </c>
      <c r="G5" s="6" t="s">
        <v>228</v>
      </c>
      <c r="H5" s="3" t="s">
        <v>138</v>
      </c>
      <c r="I5" s="2" t="s">
        <v>142</v>
      </c>
      <c r="J5" s="2"/>
    </row>
    <row r="6" spans="2:10" x14ac:dyDescent="0.25">
      <c r="B6" s="1" t="s">
        <v>151</v>
      </c>
      <c r="C6">
        <v>6</v>
      </c>
      <c r="D6">
        <v>2</v>
      </c>
      <c r="E6">
        <v>8</v>
      </c>
      <c r="G6" s="5" t="s">
        <v>140</v>
      </c>
      <c r="H6" s="2">
        <f>COUNTIFS(SPORTSMEN!$K$1:$K$51,$G6,SPORTSMEN!$I$1:$I$51,ANALYSIS!H$5)</f>
        <v>4</v>
      </c>
      <c r="I6" s="2">
        <f>COUNTIFS(SPORTSMEN!$K$1:$K$51,$G6,SPORTSMEN!$I$1:$I$51,ANALYSIS!I$5)</f>
        <v>3</v>
      </c>
      <c r="J6" s="2"/>
    </row>
    <row r="7" spans="2:10" x14ac:dyDescent="0.25">
      <c r="B7" s="1" t="s">
        <v>153</v>
      </c>
      <c r="C7">
        <v>1</v>
      </c>
      <c r="D7">
        <v>2</v>
      </c>
      <c r="E7">
        <v>3</v>
      </c>
      <c r="G7" s="5" t="s">
        <v>144</v>
      </c>
      <c r="H7" s="2">
        <f>COUNTIFS(SPORTSMEN!$K$1:$K$51,$G7,SPORTSMEN!$I$1:$I$51,ANALYSIS!H$5)</f>
        <v>0</v>
      </c>
      <c r="I7" s="2">
        <f>COUNTIFS(SPORTSMEN!$K$1:$K$51,$G7,SPORTSMEN!$I$1:$I$51,ANALYSIS!I$5)</f>
        <v>2</v>
      </c>
      <c r="J7" s="2"/>
    </row>
    <row r="8" spans="2:10" x14ac:dyDescent="0.25">
      <c r="B8" s="1" t="s">
        <v>144</v>
      </c>
      <c r="D8">
        <v>2</v>
      </c>
      <c r="E8">
        <v>2</v>
      </c>
      <c r="G8" s="5" t="s">
        <v>146</v>
      </c>
      <c r="H8" s="2">
        <f>COUNTIFS(SPORTSMEN!$K$1:$K$51,$G8,SPORTSMEN!$I$1:$I$51,ANALYSIS!H$5)</f>
        <v>3</v>
      </c>
      <c r="I8" s="2">
        <f>COUNTIFS(SPORTSMEN!$K$1:$K$51,$G8,SPORTSMEN!$I$1:$I$51,ANALYSIS!I$5)</f>
        <v>2</v>
      </c>
      <c r="J8" s="2"/>
    </row>
    <row r="9" spans="2:10" x14ac:dyDescent="0.25">
      <c r="B9" s="1" t="s">
        <v>156</v>
      </c>
      <c r="C9">
        <v>3</v>
      </c>
      <c r="D9">
        <v>6</v>
      </c>
      <c r="E9">
        <v>9</v>
      </c>
      <c r="G9" s="5" t="s">
        <v>149</v>
      </c>
      <c r="H9" s="2">
        <f>COUNTIFS(SPORTSMEN!$K$1:$K$51,$G9,SPORTSMEN!$I$1:$I$51,ANALYSIS!H$5)</f>
        <v>1</v>
      </c>
      <c r="I9" s="2">
        <f>COUNTIFS(SPORTSMEN!$K$1:$K$51,$G9,SPORTSMEN!$I$1:$I$51,ANALYSIS!I$5)</f>
        <v>4</v>
      </c>
      <c r="J9" s="2"/>
    </row>
    <row r="10" spans="2:10" x14ac:dyDescent="0.25">
      <c r="B10" s="1" t="s">
        <v>149</v>
      </c>
      <c r="C10">
        <v>1</v>
      </c>
      <c r="D10">
        <v>4</v>
      </c>
      <c r="E10">
        <v>5</v>
      </c>
      <c r="G10" s="5" t="s">
        <v>151</v>
      </c>
      <c r="H10" s="2">
        <f>COUNTIFS(SPORTSMEN!$K$1:$K$51,$G10,SPORTSMEN!$I$1:$I$51,ANALYSIS!H$5)</f>
        <v>6</v>
      </c>
      <c r="I10" s="2">
        <f>COUNTIFS(SPORTSMEN!$K$1:$K$51,$G10,SPORTSMEN!$I$1:$I$51,ANALYSIS!I$5)</f>
        <v>2</v>
      </c>
      <c r="J10" s="2"/>
    </row>
    <row r="11" spans="2:10" x14ac:dyDescent="0.25">
      <c r="B11" s="1" t="s">
        <v>164</v>
      </c>
      <c r="C11">
        <v>2</v>
      </c>
      <c r="D11">
        <v>1</v>
      </c>
      <c r="E11">
        <v>3</v>
      </c>
      <c r="G11" s="5" t="s">
        <v>153</v>
      </c>
      <c r="H11" s="2">
        <f>COUNTIFS(SPORTSMEN!$K$1:$K$51,$G11,SPORTSMEN!$I$1:$I$51,ANALYSIS!H$5)</f>
        <v>1</v>
      </c>
      <c r="I11" s="2">
        <f>COUNTIFS(SPORTSMEN!$K$1:$K$51,$G11,SPORTSMEN!$I$1:$I$51,ANALYSIS!I$5)</f>
        <v>2</v>
      </c>
      <c r="J11" s="2"/>
    </row>
    <row r="12" spans="2:10" x14ac:dyDescent="0.25">
      <c r="B12" s="1" t="s">
        <v>161</v>
      </c>
      <c r="C12">
        <v>3</v>
      </c>
      <c r="E12">
        <v>3</v>
      </c>
      <c r="G12" s="5" t="s">
        <v>156</v>
      </c>
      <c r="H12" s="2">
        <f>COUNTIFS(SPORTSMEN!$K$1:$K$51,$G12,SPORTSMEN!$I$1:$I$51,ANALYSIS!H$5)</f>
        <v>3</v>
      </c>
      <c r="I12" s="2">
        <f>COUNTIFS(SPORTSMEN!$K$1:$K$51,$G12,SPORTSMEN!$I$1:$I$51,ANALYSIS!I$5)</f>
        <v>6</v>
      </c>
      <c r="J12" s="2"/>
    </row>
    <row r="13" spans="2:10" x14ac:dyDescent="0.25">
      <c r="B13" s="1" t="s">
        <v>167</v>
      </c>
      <c r="C13">
        <v>1</v>
      </c>
      <c r="D13">
        <v>1</v>
      </c>
      <c r="E13">
        <v>2</v>
      </c>
      <c r="G13" s="5" t="s">
        <v>159</v>
      </c>
      <c r="H13" s="2">
        <f>COUNTIFS(SPORTSMEN!$K$1:$K$51,$G13,SPORTSMEN!$I$1:$I$51,ANALYSIS!H$5)</f>
        <v>1</v>
      </c>
      <c r="I13" s="2">
        <f>COUNTIFS(SPORTSMEN!$K$1:$K$51,$G13,SPORTSMEN!$I$1:$I$51,ANALYSIS!I$5)</f>
        <v>2</v>
      </c>
      <c r="J13" s="2"/>
    </row>
    <row r="14" spans="2:10" x14ac:dyDescent="0.25">
      <c r="B14" s="1" t="s">
        <v>146</v>
      </c>
      <c r="C14">
        <v>3</v>
      </c>
      <c r="D14">
        <v>2</v>
      </c>
      <c r="E14">
        <v>5</v>
      </c>
      <c r="G14" s="5" t="s">
        <v>161</v>
      </c>
      <c r="H14" s="2">
        <f>COUNTIFS(SPORTSMEN!$K$1:$K$51,$G14,SPORTSMEN!$I$1:$I$51,ANALYSIS!H$5)</f>
        <v>3</v>
      </c>
      <c r="I14" s="2">
        <f>COUNTIFS(SPORTSMEN!$K$1:$K$51,$G14,SPORTSMEN!$I$1:$I$51,ANALYSIS!I$5)</f>
        <v>0</v>
      </c>
      <c r="J14" s="2"/>
    </row>
    <row r="15" spans="2:10" x14ac:dyDescent="0.25">
      <c r="B15" s="1" t="s">
        <v>140</v>
      </c>
      <c r="C15">
        <v>4</v>
      </c>
      <c r="D15">
        <v>3</v>
      </c>
      <c r="E15">
        <v>7</v>
      </c>
      <c r="G15" s="5" t="s">
        <v>164</v>
      </c>
      <c r="H15" s="2">
        <f>COUNTIFS(SPORTSMEN!$K$1:$K$51,$G15,SPORTSMEN!$I$1:$I$51,ANALYSIS!H$5)</f>
        <v>2</v>
      </c>
      <c r="I15" s="2">
        <f>COUNTIFS(SPORTSMEN!$K$1:$K$51,$G15,SPORTSMEN!$I$1:$I$51,ANALYSIS!I$5)</f>
        <v>1</v>
      </c>
      <c r="J15" s="2"/>
    </row>
    <row r="16" spans="2:10" x14ac:dyDescent="0.25">
      <c r="B16" s="1" t="s">
        <v>285</v>
      </c>
      <c r="C16">
        <v>25</v>
      </c>
      <c r="D16">
        <v>25</v>
      </c>
      <c r="E16">
        <v>50</v>
      </c>
      <c r="G16" s="5" t="s">
        <v>167</v>
      </c>
      <c r="H16" s="2">
        <f>COUNTIFS(SPORTSMEN!$K$1:$K$51,$G16,SPORTSMEN!$I$1:$I$51,ANALYSIS!H$5)</f>
        <v>1</v>
      </c>
      <c r="I16" s="2">
        <f>COUNTIFS(SPORTSMEN!$K$1:$K$51,$G16,SPORTSMEN!$I$1:$I$51,ANALYSIS!I$5)</f>
        <v>1</v>
      </c>
      <c r="J16" s="2"/>
    </row>
  </sheetData>
  <mergeCells count="1">
    <mergeCell ref="H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1:B453"/>
  <sheetViews>
    <sheetView zoomScaleNormal="100" workbookViewId="0">
      <selection activeCell="B1" sqref="B1"/>
    </sheetView>
  </sheetViews>
  <sheetFormatPr defaultRowHeight="15" x14ac:dyDescent="0.25"/>
  <cols>
    <col min="1" max="1" width="34.7109375" bestFit="1" customWidth="1"/>
    <col min="2" max="2" width="7.140625" bestFit="1" customWidth="1"/>
    <col min="3" max="3" width="10.85546875" bestFit="1" customWidth="1"/>
    <col min="4" max="4" width="8.7109375" bestFit="1" customWidth="1"/>
    <col min="5" max="5" width="7" bestFit="1" customWidth="1"/>
    <col min="6" max="6" width="8" bestFit="1" customWidth="1"/>
    <col min="7" max="7" width="10.28515625" bestFit="1" customWidth="1"/>
    <col min="8" max="8" width="13.85546875" bestFit="1" customWidth="1"/>
    <col min="9" max="9" width="6.42578125" bestFit="1" customWidth="1"/>
    <col min="10" max="10" width="8.7109375" bestFit="1" customWidth="1"/>
    <col min="11" max="11" width="3.5703125" bestFit="1" customWidth="1"/>
    <col min="12" max="12" width="4.7109375" bestFit="1" customWidth="1"/>
    <col min="13" max="36" width="5" bestFit="1" customWidth="1"/>
    <col min="37" max="37" width="11.28515625" bestFit="1" customWidth="1"/>
    <col min="38" max="38" width="23.85546875" bestFit="1" customWidth="1"/>
    <col min="39" max="39" width="20" bestFit="1" customWidth="1"/>
    <col min="40" max="40" width="21.42578125" bestFit="1" customWidth="1"/>
    <col min="41" max="41" width="26.140625" bestFit="1" customWidth="1"/>
    <col min="42" max="42" width="26.7109375" bestFit="1" customWidth="1"/>
    <col min="43" max="43" width="22.85546875" bestFit="1" customWidth="1"/>
    <col min="44" max="44" width="21.85546875" bestFit="1" customWidth="1"/>
    <col min="45" max="46" width="24.42578125" bestFit="1" customWidth="1"/>
    <col min="47" max="47" width="25.7109375" bestFit="1" customWidth="1"/>
    <col min="48" max="48" width="19" bestFit="1" customWidth="1"/>
    <col min="49" max="49" width="25.85546875" bestFit="1" customWidth="1"/>
    <col min="50" max="50" width="24" bestFit="1" customWidth="1"/>
    <col min="51" max="51" width="20.85546875" bestFit="1" customWidth="1"/>
    <col min="52" max="52" width="11.28515625" bestFit="1" customWidth="1"/>
    <col min="53" max="53" width="19.85546875" bestFit="1" customWidth="1"/>
    <col min="54" max="54" width="7.85546875" bestFit="1" customWidth="1"/>
    <col min="55" max="55" width="17.28515625" bestFit="1" customWidth="1"/>
    <col min="56" max="56" width="7.85546875" bestFit="1" customWidth="1"/>
    <col min="57" max="57" width="26.140625" bestFit="1" customWidth="1"/>
    <col min="58" max="58" width="7.85546875" bestFit="1" customWidth="1"/>
    <col min="59" max="59" width="25.7109375" bestFit="1" customWidth="1"/>
    <col min="60" max="60" width="7.85546875" bestFit="1" customWidth="1"/>
    <col min="61" max="61" width="24.140625" bestFit="1" customWidth="1"/>
    <col min="62" max="62" width="7.85546875" bestFit="1" customWidth="1"/>
    <col min="63" max="63" width="27.5703125" bestFit="1" customWidth="1"/>
    <col min="64" max="64" width="7.85546875" bestFit="1" customWidth="1"/>
    <col min="65" max="65" width="21.85546875" bestFit="1" customWidth="1"/>
    <col min="66" max="66" width="7.85546875" bestFit="1" customWidth="1"/>
    <col min="67" max="67" width="17.5703125" bestFit="1" customWidth="1"/>
    <col min="68" max="68" width="7.85546875" bestFit="1" customWidth="1"/>
    <col min="69" max="69" width="18.28515625" bestFit="1" customWidth="1"/>
    <col min="70" max="70" width="7.85546875" bestFit="1" customWidth="1"/>
    <col min="71" max="71" width="27.140625" bestFit="1" customWidth="1"/>
    <col min="72" max="72" width="7.85546875" bestFit="1" customWidth="1"/>
    <col min="73" max="73" width="22" bestFit="1" customWidth="1"/>
    <col min="74" max="74" width="7.85546875" bestFit="1" customWidth="1"/>
    <col min="75" max="75" width="28.7109375" bestFit="1" customWidth="1"/>
    <col min="76" max="76" width="7.85546875" bestFit="1" customWidth="1"/>
    <col min="77" max="77" width="20.85546875" bestFit="1" customWidth="1"/>
    <col min="78" max="78" width="7.85546875" bestFit="1" customWidth="1"/>
    <col min="79" max="79" width="22.5703125" bestFit="1" customWidth="1"/>
    <col min="80" max="80" width="7.85546875" bestFit="1" customWidth="1"/>
    <col min="81" max="81" width="20.28515625" bestFit="1" customWidth="1"/>
    <col min="82" max="82" width="7.85546875" bestFit="1" customWidth="1"/>
    <col min="83" max="83" width="19.5703125" bestFit="1" customWidth="1"/>
    <col min="84" max="84" width="7.85546875" bestFit="1" customWidth="1"/>
    <col min="85" max="85" width="18.42578125" bestFit="1" customWidth="1"/>
    <col min="86" max="86" width="7.85546875" bestFit="1" customWidth="1"/>
    <col min="87" max="87" width="23.42578125" bestFit="1" customWidth="1"/>
    <col min="88" max="88" width="7.85546875" bestFit="1" customWidth="1"/>
    <col min="89" max="89" width="16.140625" bestFit="1" customWidth="1"/>
    <col min="90" max="90" width="7.85546875" bestFit="1" customWidth="1"/>
    <col min="91" max="91" width="16.85546875" bestFit="1" customWidth="1"/>
    <col min="92" max="92" width="7.85546875" bestFit="1" customWidth="1"/>
    <col min="93" max="93" width="20.140625" bestFit="1" customWidth="1"/>
    <col min="94" max="94" width="7.85546875" bestFit="1" customWidth="1"/>
    <col min="95" max="95" width="24.42578125" bestFit="1" customWidth="1"/>
    <col min="96" max="96" width="7.85546875" bestFit="1" customWidth="1"/>
    <col min="97" max="97" width="19.140625" bestFit="1" customWidth="1"/>
    <col min="98" max="98" width="7.85546875" bestFit="1" customWidth="1"/>
    <col min="99" max="99" width="22.85546875" bestFit="1" customWidth="1"/>
    <col min="100" max="100" width="7.85546875" bestFit="1" customWidth="1"/>
    <col min="101" max="101" width="11.28515625" bestFit="1" customWidth="1"/>
    <col min="102" max="102" width="7.85546875" bestFit="1" customWidth="1"/>
    <col min="103" max="103" width="18.28515625" bestFit="1" customWidth="1"/>
    <col min="104" max="104" width="10.42578125" bestFit="1" customWidth="1"/>
    <col min="105" max="105" width="7.85546875" bestFit="1" customWidth="1"/>
    <col min="106" max="106" width="27.140625" bestFit="1" customWidth="1"/>
    <col min="107" max="107" width="10.42578125" bestFit="1" customWidth="1"/>
    <col min="108" max="108" width="7.85546875" bestFit="1" customWidth="1"/>
    <col min="109" max="109" width="22" bestFit="1" customWidth="1"/>
    <col min="110" max="110" width="10.42578125" bestFit="1" customWidth="1"/>
    <col min="111" max="111" width="7.85546875" bestFit="1" customWidth="1"/>
    <col min="112" max="112" width="28.7109375" bestFit="1" customWidth="1"/>
    <col min="113" max="113" width="10.42578125" bestFit="1" customWidth="1"/>
    <col min="114" max="114" width="7.85546875" bestFit="1" customWidth="1"/>
    <col min="115" max="115" width="20.85546875" bestFit="1" customWidth="1"/>
    <col min="116" max="116" width="10.42578125" bestFit="1" customWidth="1"/>
    <col min="117" max="117" width="7.85546875" bestFit="1" customWidth="1"/>
    <col min="118" max="118" width="22.5703125" bestFit="1" customWidth="1"/>
    <col min="119" max="119" width="10.42578125" bestFit="1" customWidth="1"/>
    <col min="120" max="120" width="7.85546875" bestFit="1" customWidth="1"/>
    <col min="121" max="121" width="20.28515625" bestFit="1" customWidth="1"/>
    <col min="122" max="122" width="12.42578125" bestFit="1" customWidth="1"/>
    <col min="123" max="123" width="7.85546875" bestFit="1" customWidth="1"/>
    <col min="124" max="124" width="19.5703125" bestFit="1" customWidth="1"/>
    <col min="125" max="125" width="12.42578125" bestFit="1" customWidth="1"/>
    <col min="126" max="126" width="7.85546875" bestFit="1" customWidth="1"/>
    <col min="127" max="127" width="18.42578125" bestFit="1" customWidth="1"/>
    <col min="128" max="128" width="12.42578125" bestFit="1" customWidth="1"/>
    <col min="129" max="129" width="7.85546875" bestFit="1" customWidth="1"/>
    <col min="130" max="130" width="23.42578125" bestFit="1" customWidth="1"/>
    <col min="131" max="131" width="12.42578125" bestFit="1" customWidth="1"/>
    <col min="132" max="132" width="7.85546875" bestFit="1" customWidth="1"/>
    <col min="133" max="133" width="16.140625" bestFit="1" customWidth="1"/>
    <col min="134" max="134" width="12.42578125" bestFit="1" customWidth="1"/>
    <col min="135" max="135" width="7.85546875" bestFit="1" customWidth="1"/>
    <col min="136" max="136" width="16.85546875" bestFit="1" customWidth="1"/>
    <col min="137" max="137" width="10.42578125" bestFit="1" customWidth="1"/>
    <col min="138" max="138" width="7.85546875" bestFit="1" customWidth="1"/>
    <col min="139" max="139" width="20.140625" bestFit="1" customWidth="1"/>
    <col min="140" max="140" width="12.42578125" bestFit="1" customWidth="1"/>
    <col min="141" max="141" width="7.85546875" bestFit="1" customWidth="1"/>
    <col min="142" max="142" width="24.42578125" bestFit="1" customWidth="1"/>
    <col min="143" max="143" width="12.42578125" bestFit="1" customWidth="1"/>
    <col min="144" max="144" width="7.85546875" bestFit="1" customWidth="1"/>
    <col min="145" max="145" width="19.140625" bestFit="1" customWidth="1"/>
    <col min="146" max="146" width="10.42578125" bestFit="1" customWidth="1"/>
    <col min="147" max="147" width="7.85546875" bestFit="1" customWidth="1"/>
    <col min="148" max="148" width="22.85546875" bestFit="1" customWidth="1"/>
    <col min="149" max="149" width="10.42578125" bestFit="1" customWidth="1"/>
    <col min="150" max="150" width="7.85546875" bestFit="1" customWidth="1"/>
    <col min="151" max="151" width="11.28515625" bestFit="1" customWidth="1"/>
    <col min="152" max="152" width="7.85546875" bestFit="1" customWidth="1"/>
    <col min="153" max="153" width="20.85546875" bestFit="1" customWidth="1"/>
    <col min="154" max="154" width="10.42578125" bestFit="1" customWidth="1"/>
    <col min="155" max="155" width="15.42578125" bestFit="1" customWidth="1"/>
    <col min="156" max="156" width="7.85546875" bestFit="1" customWidth="1"/>
    <col min="157" max="157" width="22.5703125" bestFit="1" customWidth="1"/>
    <col min="158" max="158" width="10.42578125" bestFit="1" customWidth="1"/>
    <col min="159" max="159" width="15.42578125" bestFit="1" customWidth="1"/>
    <col min="160" max="160" width="7.85546875" bestFit="1" customWidth="1"/>
    <col min="161" max="161" width="20.28515625" bestFit="1" customWidth="1"/>
    <col min="162" max="162" width="12.42578125" bestFit="1" customWidth="1"/>
    <col min="163" max="163" width="15.42578125" bestFit="1" customWidth="1"/>
    <col min="164" max="164" width="7.85546875" bestFit="1" customWidth="1"/>
    <col min="165" max="165" width="19.5703125" bestFit="1" customWidth="1"/>
    <col min="166" max="166" width="12.42578125" bestFit="1" customWidth="1"/>
    <col min="167" max="167" width="15.42578125" bestFit="1" customWidth="1"/>
    <col min="168" max="168" width="7.85546875" bestFit="1" customWidth="1"/>
    <col min="169" max="169" width="18.42578125" bestFit="1" customWidth="1"/>
    <col min="170" max="170" width="12.42578125" bestFit="1" customWidth="1"/>
    <col min="171" max="171" width="15.42578125" bestFit="1" customWidth="1"/>
    <col min="172" max="172" width="7.85546875" bestFit="1" customWidth="1"/>
    <col min="173" max="173" width="23.42578125" bestFit="1" customWidth="1"/>
    <col min="174" max="174" width="12.42578125" bestFit="1" customWidth="1"/>
    <col min="175" max="175" width="15.42578125" bestFit="1" customWidth="1"/>
    <col min="176" max="176" width="7.85546875" bestFit="1" customWidth="1"/>
    <col min="177" max="177" width="16.140625" bestFit="1" customWidth="1"/>
    <col min="178" max="178" width="12.42578125" bestFit="1" customWidth="1"/>
    <col min="179" max="179" width="15.42578125" bestFit="1" customWidth="1"/>
    <col min="180" max="180" width="7.85546875" bestFit="1" customWidth="1"/>
    <col min="181" max="181" width="16.85546875" bestFit="1" customWidth="1"/>
    <col min="182" max="182" width="10.42578125" bestFit="1" customWidth="1"/>
    <col min="183" max="183" width="15.42578125" bestFit="1" customWidth="1"/>
    <col min="184" max="184" width="7.85546875" bestFit="1" customWidth="1"/>
    <col min="185" max="185" width="20.140625" bestFit="1" customWidth="1"/>
    <col min="186" max="186" width="12.42578125" bestFit="1" customWidth="1"/>
    <col min="187" max="187" width="15.42578125" bestFit="1" customWidth="1"/>
    <col min="188" max="188" width="7.85546875" bestFit="1" customWidth="1"/>
    <col min="189" max="189" width="24.42578125" bestFit="1" customWidth="1"/>
    <col min="190" max="190" width="12.42578125" bestFit="1" customWidth="1"/>
    <col min="191" max="191" width="15.42578125" bestFit="1" customWidth="1"/>
    <col min="192" max="192" width="7.85546875" bestFit="1" customWidth="1"/>
    <col min="193" max="193" width="19.140625" bestFit="1" customWidth="1"/>
    <col min="194" max="194" width="10.42578125" bestFit="1" customWidth="1"/>
    <col min="195" max="195" width="15.42578125" bestFit="1" customWidth="1"/>
    <col min="196" max="196" width="7.85546875" bestFit="1" customWidth="1"/>
    <col min="197" max="197" width="22.85546875" bestFit="1" customWidth="1"/>
    <col min="198" max="198" width="10.42578125" bestFit="1" customWidth="1"/>
    <col min="199" max="199" width="15.42578125" bestFit="1" customWidth="1"/>
    <col min="200" max="200" width="7.85546875" bestFit="1" customWidth="1"/>
    <col min="201" max="201" width="11.28515625" bestFit="1" customWidth="1"/>
    <col min="202" max="202" width="12.42578125" bestFit="1" customWidth="1"/>
    <col min="203" max="203" width="15.42578125" bestFit="1" customWidth="1"/>
    <col min="204" max="204" width="9.140625" bestFit="1" customWidth="1"/>
    <col min="205" max="205" width="7.85546875" bestFit="1" customWidth="1"/>
    <col min="206" max="206" width="19.5703125" bestFit="1" customWidth="1"/>
    <col min="207" max="207" width="12.42578125" bestFit="1" customWidth="1"/>
    <col min="208" max="208" width="15.42578125" bestFit="1" customWidth="1"/>
    <col min="209" max="209" width="9.42578125" bestFit="1" customWidth="1"/>
    <col min="210" max="210" width="7.85546875" bestFit="1" customWidth="1"/>
    <col min="211" max="211" width="18.42578125" bestFit="1" customWidth="1"/>
    <col min="212" max="212" width="12.42578125" bestFit="1" customWidth="1"/>
    <col min="213" max="213" width="15.42578125" bestFit="1" customWidth="1"/>
    <col min="214" max="214" width="8.7109375" bestFit="1" customWidth="1"/>
    <col min="215" max="215" width="7.85546875" bestFit="1" customWidth="1"/>
    <col min="216" max="216" width="23.42578125" bestFit="1" customWidth="1"/>
    <col min="217" max="217" width="12.42578125" bestFit="1" customWidth="1"/>
    <col min="218" max="218" width="15.42578125" bestFit="1" customWidth="1"/>
    <col min="219" max="219" width="8.28515625" bestFit="1" customWidth="1"/>
    <col min="220" max="220" width="7.85546875" bestFit="1" customWidth="1"/>
    <col min="221" max="221" width="16.140625" bestFit="1" customWidth="1"/>
    <col min="222" max="222" width="12.42578125" bestFit="1" customWidth="1"/>
    <col min="223" max="223" width="15.42578125" bestFit="1" customWidth="1"/>
    <col min="224" max="224" width="9.7109375" bestFit="1" customWidth="1"/>
    <col min="225" max="225" width="7.85546875" bestFit="1" customWidth="1"/>
    <col min="226" max="226" width="16.85546875" bestFit="1" customWidth="1"/>
    <col min="227" max="227" width="10.42578125" bestFit="1" customWidth="1"/>
    <col min="228" max="228" width="15.42578125" bestFit="1" customWidth="1"/>
    <col min="229" max="229" width="8.85546875" bestFit="1" customWidth="1"/>
    <col min="230" max="230" width="7.85546875" bestFit="1" customWidth="1"/>
    <col min="231" max="231" width="20.140625" bestFit="1" customWidth="1"/>
    <col min="232" max="232" width="12.42578125" bestFit="1" customWidth="1"/>
    <col min="233" max="233" width="15.42578125" bestFit="1" customWidth="1"/>
    <col min="234" max="234" width="9" bestFit="1" customWidth="1"/>
    <col min="235" max="235" width="7.85546875" bestFit="1" customWidth="1"/>
    <col min="236" max="236" width="24.42578125" bestFit="1" customWidth="1"/>
    <col min="237" max="237" width="12.42578125" bestFit="1" customWidth="1"/>
    <col min="238" max="238" width="15.42578125" bestFit="1" customWidth="1"/>
    <col min="239" max="239" width="9.7109375" bestFit="1" customWidth="1"/>
    <col min="240" max="240" width="7.85546875" bestFit="1" customWidth="1"/>
    <col min="241" max="241" width="19.140625" bestFit="1" customWidth="1"/>
    <col min="242" max="242" width="10.42578125" bestFit="1" customWidth="1"/>
    <col min="243" max="243" width="15.42578125" bestFit="1" customWidth="1"/>
    <col min="244" max="244" width="9.140625" bestFit="1" customWidth="1"/>
    <col min="245" max="245" width="7.85546875" bestFit="1" customWidth="1"/>
    <col min="246" max="246" width="22.85546875" bestFit="1" customWidth="1"/>
    <col min="247" max="247" width="10.42578125" bestFit="1" customWidth="1"/>
    <col min="248" max="248" width="15.42578125" bestFit="1" customWidth="1"/>
    <col min="249" max="249" width="8.28515625" bestFit="1" customWidth="1"/>
    <col min="250" max="250" width="7.85546875" bestFit="1" customWidth="1"/>
    <col min="251" max="251" width="11.28515625" bestFit="1" customWidth="1"/>
    <col min="252" max="252" width="7.85546875" bestFit="1" customWidth="1"/>
    <col min="253" max="253" width="18.42578125" bestFit="1" customWidth="1"/>
    <col min="254" max="254" width="12.42578125" bestFit="1" customWidth="1"/>
    <col min="255" max="255" width="15.42578125" bestFit="1" customWidth="1"/>
    <col min="256" max="256" width="8.7109375" bestFit="1" customWidth="1"/>
    <col min="257" max="257" width="9.7109375" bestFit="1" customWidth="1"/>
    <col min="258" max="258" width="7.85546875" bestFit="1" customWidth="1"/>
    <col min="259" max="259" width="23.42578125" bestFit="1" customWidth="1"/>
    <col min="260" max="260" width="12.42578125" bestFit="1" customWidth="1"/>
    <col min="261" max="261" width="15.42578125" bestFit="1" customWidth="1"/>
    <col min="262" max="262" width="8.28515625" bestFit="1" customWidth="1"/>
    <col min="263" max="263" width="9.7109375" bestFit="1" customWidth="1"/>
    <col min="264" max="264" width="7.85546875" bestFit="1" customWidth="1"/>
    <col min="265" max="265" width="16.140625" bestFit="1" customWidth="1"/>
    <col min="266" max="266" width="12.42578125" bestFit="1" customWidth="1"/>
    <col min="267" max="267" width="15.42578125" bestFit="1" customWidth="1"/>
    <col min="268" max="269" width="9.7109375" bestFit="1" customWidth="1"/>
    <col min="270" max="270" width="7.85546875" bestFit="1" customWidth="1"/>
    <col min="271" max="271" width="16.85546875" bestFit="1" customWidth="1"/>
    <col min="272" max="272" width="10.42578125" bestFit="1" customWidth="1"/>
    <col min="273" max="273" width="15.42578125" bestFit="1" customWidth="1"/>
    <col min="274" max="274" width="8.85546875" bestFit="1" customWidth="1"/>
    <col min="275" max="275" width="9.7109375" bestFit="1" customWidth="1"/>
    <col min="276" max="276" width="7.85546875" bestFit="1" customWidth="1"/>
    <col min="277" max="277" width="20.140625" bestFit="1" customWidth="1"/>
    <col min="278" max="278" width="12.42578125" bestFit="1" customWidth="1"/>
    <col min="279" max="279" width="15.42578125" bestFit="1" customWidth="1"/>
    <col min="280" max="280" width="9" bestFit="1" customWidth="1"/>
    <col min="281" max="281" width="9.7109375" bestFit="1" customWidth="1"/>
    <col min="282" max="282" width="7.85546875" bestFit="1" customWidth="1"/>
    <col min="283" max="283" width="24.42578125" bestFit="1" customWidth="1"/>
    <col min="284" max="284" width="12.42578125" bestFit="1" customWidth="1"/>
    <col min="285" max="285" width="15.42578125" bestFit="1" customWidth="1"/>
    <col min="286" max="287" width="9.7109375" bestFit="1" customWidth="1"/>
    <col min="288" max="288" width="7.85546875" bestFit="1" customWidth="1"/>
    <col min="289" max="289" width="19.140625" bestFit="1" customWidth="1"/>
    <col min="290" max="290" width="10.42578125" bestFit="1" customWidth="1"/>
    <col min="291" max="291" width="15.42578125" bestFit="1" customWidth="1"/>
    <col min="292" max="292" width="9.140625" bestFit="1" customWidth="1"/>
    <col min="293" max="293" width="9.7109375" bestFit="1" customWidth="1"/>
    <col min="294" max="294" width="7.85546875" bestFit="1" customWidth="1"/>
    <col min="295" max="295" width="22.85546875" bestFit="1" customWidth="1"/>
    <col min="296" max="296" width="10.42578125" bestFit="1" customWidth="1"/>
    <col min="297" max="297" width="15.42578125" bestFit="1" customWidth="1"/>
    <col min="298" max="298" width="8.28515625" bestFit="1" customWidth="1"/>
    <col min="299" max="299" width="9.7109375" bestFit="1" customWidth="1"/>
    <col min="300" max="300" width="7.85546875" bestFit="1" customWidth="1"/>
    <col min="301" max="301" width="11.28515625" bestFit="1" customWidth="1"/>
    <col min="302" max="302" width="23.42578125" bestFit="1" customWidth="1"/>
    <col min="303" max="303" width="12.42578125" bestFit="1" customWidth="1"/>
    <col min="304" max="304" width="15.42578125" bestFit="1" customWidth="1"/>
    <col min="305" max="305" width="8.28515625" bestFit="1" customWidth="1"/>
    <col min="306" max="306" width="9.7109375" bestFit="1" customWidth="1"/>
    <col min="307" max="307" width="9.85546875" bestFit="1" customWidth="1"/>
    <col min="308" max="308" width="7.85546875" bestFit="1" customWidth="1"/>
    <col min="309" max="309" width="16.140625" bestFit="1" customWidth="1"/>
    <col min="310" max="310" width="12.42578125" bestFit="1" customWidth="1"/>
    <col min="311" max="311" width="15.42578125" bestFit="1" customWidth="1"/>
    <col min="312" max="313" width="9.7109375" bestFit="1" customWidth="1"/>
    <col min="314" max="314" width="9.85546875" bestFit="1" customWidth="1"/>
    <col min="315" max="315" width="7.85546875" bestFit="1" customWidth="1"/>
    <col min="316" max="316" width="16.85546875" bestFit="1" customWidth="1"/>
    <col min="317" max="317" width="10.42578125" bestFit="1" customWidth="1"/>
    <col min="318" max="318" width="15.42578125" bestFit="1" customWidth="1"/>
    <col min="319" max="319" width="8.85546875" bestFit="1" customWidth="1"/>
    <col min="320" max="320" width="9.7109375" bestFit="1" customWidth="1"/>
    <col min="321" max="321" width="9.85546875" bestFit="1" customWidth="1"/>
    <col min="322" max="322" width="7.85546875" bestFit="1" customWidth="1"/>
    <col min="323" max="323" width="20.140625" bestFit="1" customWidth="1"/>
    <col min="324" max="324" width="12.42578125" bestFit="1" customWidth="1"/>
    <col min="325" max="325" width="15.42578125" bestFit="1" customWidth="1"/>
    <col min="326" max="326" width="9" bestFit="1" customWidth="1"/>
    <col min="327" max="327" width="9.7109375" bestFit="1" customWidth="1"/>
    <col min="328" max="328" width="9.85546875" bestFit="1" customWidth="1"/>
    <col min="329" max="329" width="7.85546875" bestFit="1" customWidth="1"/>
    <col min="330" max="330" width="24.42578125" bestFit="1" customWidth="1"/>
    <col min="331" max="331" width="12.42578125" bestFit="1" customWidth="1"/>
    <col min="332" max="332" width="15.42578125" bestFit="1" customWidth="1"/>
    <col min="333" max="334" width="9.7109375" bestFit="1" customWidth="1"/>
    <col min="335" max="335" width="9.85546875" bestFit="1" customWidth="1"/>
    <col min="336" max="336" width="7.85546875" bestFit="1" customWidth="1"/>
    <col min="337" max="337" width="19.140625" bestFit="1" customWidth="1"/>
    <col min="338" max="338" width="10.42578125" bestFit="1" customWidth="1"/>
    <col min="339" max="339" width="15.42578125" bestFit="1" customWidth="1"/>
    <col min="341" max="341" width="9.7109375" bestFit="1" customWidth="1"/>
    <col min="342" max="342" width="9.85546875" bestFit="1" customWidth="1"/>
    <col min="343" max="343" width="7.85546875" bestFit="1" customWidth="1"/>
    <col min="344" max="344" width="22.85546875" bestFit="1" customWidth="1"/>
    <col min="345" max="345" width="10.42578125" bestFit="1" customWidth="1"/>
    <col min="346" max="346" width="15.42578125" bestFit="1" customWidth="1"/>
    <col min="347" max="347" width="8.28515625" bestFit="1" customWidth="1"/>
    <col min="348" max="348" width="9.7109375" bestFit="1" customWidth="1"/>
    <col min="349" max="349" width="9.85546875" bestFit="1" customWidth="1"/>
    <col min="350" max="350" width="7.85546875" bestFit="1" customWidth="1"/>
    <col min="351" max="351" width="11.28515625" bestFit="1" customWidth="1"/>
  </cols>
  <sheetData>
    <row r="1" spans="1:2" x14ac:dyDescent="0.25">
      <c r="A1" s="40" t="s">
        <v>238</v>
      </c>
      <c r="B1" s="2" t="s">
        <v>423</v>
      </c>
    </row>
    <row r="3" spans="1:2" x14ac:dyDescent="0.25">
      <c r="A3" s="40" t="s">
        <v>286</v>
      </c>
    </row>
    <row r="4" spans="1:2" x14ac:dyDescent="0.25">
      <c r="A4" s="3">
        <v>1</v>
      </c>
    </row>
    <row r="5" spans="1:2" x14ac:dyDescent="0.25">
      <c r="A5" s="41" t="s">
        <v>288</v>
      </c>
    </row>
    <row r="6" spans="1:2" x14ac:dyDescent="0.25">
      <c r="A6" s="42" t="s">
        <v>373</v>
      </c>
    </row>
    <row r="7" spans="1:2" x14ac:dyDescent="0.25">
      <c r="A7" s="43" t="s">
        <v>338</v>
      </c>
    </row>
    <row r="8" spans="1:2" x14ac:dyDescent="0.25">
      <c r="A8" s="44" t="s">
        <v>138</v>
      </c>
    </row>
    <row r="9" spans="1:2" x14ac:dyDescent="0.25">
      <c r="A9" s="45">
        <v>35699</v>
      </c>
    </row>
    <row r="10" spans="1:2" x14ac:dyDescent="0.25">
      <c r="A10" s="46" t="s">
        <v>139</v>
      </c>
    </row>
    <row r="11" spans="1:2" x14ac:dyDescent="0.25">
      <c r="A11" s="47" t="s">
        <v>140</v>
      </c>
    </row>
    <row r="12" spans="1:2" x14ac:dyDescent="0.25">
      <c r="A12" s="48" t="s">
        <v>174</v>
      </c>
    </row>
    <row r="13" spans="1:2" x14ac:dyDescent="0.25">
      <c r="A13" s="3">
        <v>2</v>
      </c>
    </row>
    <row r="14" spans="1:2" x14ac:dyDescent="0.25">
      <c r="A14" s="41" t="s">
        <v>289</v>
      </c>
    </row>
    <row r="15" spans="1:2" x14ac:dyDescent="0.25">
      <c r="A15" s="42" t="s">
        <v>374</v>
      </c>
    </row>
    <row r="16" spans="1:2" x14ac:dyDescent="0.25">
      <c r="A16" s="43" t="s">
        <v>339</v>
      </c>
    </row>
    <row r="17" spans="1:1" x14ac:dyDescent="0.25">
      <c r="A17" s="44" t="s">
        <v>138</v>
      </c>
    </row>
    <row r="18" spans="1:1" x14ac:dyDescent="0.25">
      <c r="A18" s="45">
        <v>33641</v>
      </c>
    </row>
    <row r="19" spans="1:1" x14ac:dyDescent="0.25">
      <c r="A19" s="46" t="s">
        <v>139</v>
      </c>
    </row>
    <row r="20" spans="1:1" x14ac:dyDescent="0.25">
      <c r="A20" s="47" t="s">
        <v>140</v>
      </c>
    </row>
    <row r="21" spans="1:1" x14ac:dyDescent="0.25">
      <c r="A21" s="48" t="s">
        <v>175</v>
      </c>
    </row>
    <row r="22" spans="1:1" x14ac:dyDescent="0.25">
      <c r="A22" s="3">
        <v>3</v>
      </c>
    </row>
    <row r="23" spans="1:1" x14ac:dyDescent="0.25">
      <c r="A23" s="41" t="s">
        <v>290</v>
      </c>
    </row>
    <row r="24" spans="1:1" x14ac:dyDescent="0.25">
      <c r="A24" s="42" t="s">
        <v>375</v>
      </c>
    </row>
    <row r="25" spans="1:1" x14ac:dyDescent="0.25">
      <c r="A25" s="43" t="s">
        <v>340</v>
      </c>
    </row>
    <row r="26" spans="1:1" x14ac:dyDescent="0.25">
      <c r="A26" s="44" t="s">
        <v>142</v>
      </c>
    </row>
    <row r="27" spans="1:1" x14ac:dyDescent="0.25">
      <c r="A27" s="45">
        <v>25394</v>
      </c>
    </row>
    <row r="28" spans="1:1" x14ac:dyDescent="0.25">
      <c r="A28" s="46" t="s">
        <v>143</v>
      </c>
    </row>
    <row r="29" spans="1:1" x14ac:dyDescent="0.25">
      <c r="A29" s="47" t="s">
        <v>144</v>
      </c>
    </row>
    <row r="30" spans="1:1" x14ac:dyDescent="0.25">
      <c r="A30" s="48" t="s">
        <v>177</v>
      </c>
    </row>
    <row r="31" spans="1:1" x14ac:dyDescent="0.25">
      <c r="A31" s="3">
        <v>4</v>
      </c>
    </row>
    <row r="32" spans="1:1" x14ac:dyDescent="0.25">
      <c r="A32" s="41" t="s">
        <v>291</v>
      </c>
    </row>
    <row r="33" spans="1:1" x14ac:dyDescent="0.25">
      <c r="A33" s="42" t="s">
        <v>376</v>
      </c>
    </row>
    <row r="34" spans="1:1" x14ac:dyDescent="0.25">
      <c r="A34" s="43" t="s">
        <v>341</v>
      </c>
    </row>
    <row r="35" spans="1:1" x14ac:dyDescent="0.25">
      <c r="A35" s="44" t="s">
        <v>138</v>
      </c>
    </row>
    <row r="36" spans="1:1" x14ac:dyDescent="0.25">
      <c r="A36" s="45">
        <v>27532</v>
      </c>
    </row>
    <row r="37" spans="1:1" x14ac:dyDescent="0.25">
      <c r="A37" s="46" t="s">
        <v>139</v>
      </c>
    </row>
    <row r="38" spans="1:1" x14ac:dyDescent="0.25">
      <c r="A38" s="47" t="s">
        <v>140</v>
      </c>
    </row>
    <row r="39" spans="1:1" x14ac:dyDescent="0.25">
      <c r="A39" s="48" t="s">
        <v>178</v>
      </c>
    </row>
    <row r="40" spans="1:1" x14ac:dyDescent="0.25">
      <c r="A40" s="3">
        <v>5</v>
      </c>
    </row>
    <row r="41" spans="1:1" x14ac:dyDescent="0.25">
      <c r="A41" s="41" t="s">
        <v>292</v>
      </c>
    </row>
    <row r="42" spans="1:1" x14ac:dyDescent="0.25">
      <c r="A42" s="42" t="s">
        <v>377</v>
      </c>
    </row>
    <row r="43" spans="1:1" x14ac:dyDescent="0.25">
      <c r="A43" s="43" t="s">
        <v>342</v>
      </c>
    </row>
    <row r="44" spans="1:1" x14ac:dyDescent="0.25">
      <c r="A44" s="44" t="s">
        <v>142</v>
      </c>
    </row>
    <row r="45" spans="1:1" x14ac:dyDescent="0.25">
      <c r="A45" s="45">
        <v>25706</v>
      </c>
    </row>
    <row r="46" spans="1:1" x14ac:dyDescent="0.25">
      <c r="A46" s="46" t="s">
        <v>139</v>
      </c>
    </row>
    <row r="47" spans="1:1" x14ac:dyDescent="0.25">
      <c r="A47" s="47" t="s">
        <v>140</v>
      </c>
    </row>
    <row r="48" spans="1:1" x14ac:dyDescent="0.25">
      <c r="A48" s="48" t="s">
        <v>179</v>
      </c>
    </row>
    <row r="49" spans="1:1" x14ac:dyDescent="0.25">
      <c r="A49" s="3">
        <v>6</v>
      </c>
    </row>
    <row r="50" spans="1:1" x14ac:dyDescent="0.25">
      <c r="A50" s="41" t="s">
        <v>293</v>
      </c>
    </row>
    <row r="51" spans="1:1" x14ac:dyDescent="0.25">
      <c r="A51" s="42" t="s">
        <v>378</v>
      </c>
    </row>
    <row r="52" spans="1:1" x14ac:dyDescent="0.25">
      <c r="A52" s="43" t="s">
        <v>339</v>
      </c>
    </row>
    <row r="53" spans="1:1" x14ac:dyDescent="0.25">
      <c r="A53" s="44" t="s">
        <v>142</v>
      </c>
    </row>
    <row r="54" spans="1:1" x14ac:dyDescent="0.25">
      <c r="A54" s="45">
        <v>33944</v>
      </c>
    </row>
    <row r="55" spans="1:1" x14ac:dyDescent="0.25">
      <c r="A55" s="46" t="s">
        <v>139</v>
      </c>
    </row>
    <row r="56" spans="1:1" x14ac:dyDescent="0.25">
      <c r="A56" s="47" t="s">
        <v>140</v>
      </c>
    </row>
    <row r="57" spans="1:1" x14ac:dyDescent="0.25">
      <c r="A57" s="48" t="s">
        <v>180</v>
      </c>
    </row>
    <row r="58" spans="1:1" x14ac:dyDescent="0.25">
      <c r="A58" s="3">
        <v>7</v>
      </c>
    </row>
    <row r="59" spans="1:1" x14ac:dyDescent="0.25">
      <c r="A59" s="41" t="s">
        <v>294</v>
      </c>
    </row>
    <row r="60" spans="1:1" x14ac:dyDescent="0.25">
      <c r="A60" s="42" t="s">
        <v>379</v>
      </c>
    </row>
    <row r="61" spans="1:1" x14ac:dyDescent="0.25">
      <c r="A61" s="43" t="s">
        <v>343</v>
      </c>
    </row>
    <row r="62" spans="1:1" x14ac:dyDescent="0.25">
      <c r="A62" s="44" t="s">
        <v>138</v>
      </c>
    </row>
    <row r="63" spans="1:1" x14ac:dyDescent="0.25">
      <c r="A63" s="45">
        <v>36370</v>
      </c>
    </row>
    <row r="64" spans="1:1" x14ac:dyDescent="0.25">
      <c r="A64" s="46" t="s">
        <v>139</v>
      </c>
    </row>
    <row r="65" spans="1:1" x14ac:dyDescent="0.25">
      <c r="A65" s="47" t="s">
        <v>140</v>
      </c>
    </row>
    <row r="66" spans="1:1" x14ac:dyDescent="0.25">
      <c r="A66" s="48" t="s">
        <v>181</v>
      </c>
    </row>
    <row r="67" spans="1:1" x14ac:dyDescent="0.25">
      <c r="A67" s="3">
        <v>8</v>
      </c>
    </row>
    <row r="68" spans="1:1" x14ac:dyDescent="0.25">
      <c r="A68" s="41" t="s">
        <v>295</v>
      </c>
    </row>
    <row r="69" spans="1:1" x14ac:dyDescent="0.25">
      <c r="A69" s="42" t="s">
        <v>380</v>
      </c>
    </row>
    <row r="70" spans="1:1" x14ac:dyDescent="0.25">
      <c r="A70" s="43" t="s">
        <v>344</v>
      </c>
    </row>
    <row r="71" spans="1:1" x14ac:dyDescent="0.25">
      <c r="A71" s="44" t="s">
        <v>142</v>
      </c>
    </row>
    <row r="72" spans="1:1" x14ac:dyDescent="0.25">
      <c r="A72" s="45">
        <v>23141</v>
      </c>
    </row>
    <row r="73" spans="1:1" x14ac:dyDescent="0.25">
      <c r="A73" s="46" t="s">
        <v>139</v>
      </c>
    </row>
    <row r="74" spans="1:1" x14ac:dyDescent="0.25">
      <c r="A74" s="47" t="s">
        <v>140</v>
      </c>
    </row>
    <row r="75" spans="1:1" x14ac:dyDescent="0.25">
      <c r="A75" s="48" t="s">
        <v>182</v>
      </c>
    </row>
    <row r="76" spans="1:1" x14ac:dyDescent="0.25">
      <c r="A76" s="3">
        <v>9</v>
      </c>
    </row>
    <row r="77" spans="1:1" x14ac:dyDescent="0.25">
      <c r="A77" s="41" t="s">
        <v>296</v>
      </c>
    </row>
    <row r="78" spans="1:1" x14ac:dyDescent="0.25">
      <c r="A78" s="42" t="s">
        <v>381</v>
      </c>
    </row>
    <row r="79" spans="1:1" x14ac:dyDescent="0.25">
      <c r="A79" s="43" t="s">
        <v>345</v>
      </c>
    </row>
    <row r="80" spans="1:1" x14ac:dyDescent="0.25">
      <c r="A80" s="44" t="s">
        <v>138</v>
      </c>
    </row>
    <row r="81" spans="1:1" x14ac:dyDescent="0.25">
      <c r="A81" s="45">
        <v>25965</v>
      </c>
    </row>
    <row r="82" spans="1:1" x14ac:dyDescent="0.25">
      <c r="A82" s="46" t="s">
        <v>139</v>
      </c>
    </row>
    <row r="83" spans="1:1" x14ac:dyDescent="0.25">
      <c r="A83" s="47" t="s">
        <v>146</v>
      </c>
    </row>
    <row r="84" spans="1:1" x14ac:dyDescent="0.25">
      <c r="A84" s="48" t="s">
        <v>183</v>
      </c>
    </row>
    <row r="85" spans="1:1" x14ac:dyDescent="0.25">
      <c r="A85" s="3">
        <v>10</v>
      </c>
    </row>
    <row r="86" spans="1:1" x14ac:dyDescent="0.25">
      <c r="A86" s="41" t="s">
        <v>297</v>
      </c>
    </row>
    <row r="87" spans="1:1" x14ac:dyDescent="0.25">
      <c r="A87" s="42" t="s">
        <v>382</v>
      </c>
    </row>
    <row r="88" spans="1:1" x14ac:dyDescent="0.25">
      <c r="A88" s="43" t="s">
        <v>346</v>
      </c>
    </row>
    <row r="89" spans="1:1" x14ac:dyDescent="0.25">
      <c r="A89" s="44" t="s">
        <v>142</v>
      </c>
    </row>
    <row r="90" spans="1:1" x14ac:dyDescent="0.25">
      <c r="A90" s="45">
        <v>23732</v>
      </c>
    </row>
    <row r="91" spans="1:1" x14ac:dyDescent="0.25">
      <c r="A91" s="46" t="s">
        <v>139</v>
      </c>
    </row>
    <row r="92" spans="1:1" x14ac:dyDescent="0.25">
      <c r="A92" s="47" t="s">
        <v>146</v>
      </c>
    </row>
    <row r="93" spans="1:1" x14ac:dyDescent="0.25">
      <c r="A93" s="48" t="s">
        <v>181</v>
      </c>
    </row>
    <row r="94" spans="1:1" x14ac:dyDescent="0.25">
      <c r="A94" s="3">
        <v>11</v>
      </c>
    </row>
    <row r="95" spans="1:1" x14ac:dyDescent="0.25">
      <c r="A95" s="41" t="s">
        <v>298</v>
      </c>
    </row>
    <row r="96" spans="1:1" x14ac:dyDescent="0.25">
      <c r="A96" s="42" t="s">
        <v>383</v>
      </c>
    </row>
    <row r="97" spans="1:1" x14ac:dyDescent="0.25">
      <c r="A97" s="43" t="s">
        <v>347</v>
      </c>
    </row>
    <row r="98" spans="1:1" x14ac:dyDescent="0.25">
      <c r="A98" s="44" t="s">
        <v>142</v>
      </c>
    </row>
    <row r="99" spans="1:1" x14ac:dyDescent="0.25">
      <c r="A99" s="45">
        <v>31733</v>
      </c>
    </row>
    <row r="100" spans="1:1" x14ac:dyDescent="0.25">
      <c r="A100" s="46" t="s">
        <v>139</v>
      </c>
    </row>
    <row r="101" spans="1:1" x14ac:dyDescent="0.25">
      <c r="A101" s="47" t="s">
        <v>146</v>
      </c>
    </row>
    <row r="102" spans="1:1" x14ac:dyDescent="0.25">
      <c r="A102" s="48" t="s">
        <v>184</v>
      </c>
    </row>
    <row r="103" spans="1:1" x14ac:dyDescent="0.25">
      <c r="A103" s="3">
        <v>12</v>
      </c>
    </row>
    <row r="104" spans="1:1" x14ac:dyDescent="0.25">
      <c r="A104" s="41" t="s">
        <v>299</v>
      </c>
    </row>
    <row r="105" spans="1:1" x14ac:dyDescent="0.25">
      <c r="A105" s="42" t="s">
        <v>384</v>
      </c>
    </row>
    <row r="106" spans="1:1" x14ac:dyDescent="0.25">
      <c r="A106" s="43" t="s">
        <v>348</v>
      </c>
    </row>
    <row r="107" spans="1:1" x14ac:dyDescent="0.25">
      <c r="A107" s="44" t="s">
        <v>138</v>
      </c>
    </row>
    <row r="108" spans="1:1" x14ac:dyDescent="0.25">
      <c r="A108" s="45">
        <v>28412</v>
      </c>
    </row>
    <row r="109" spans="1:1" x14ac:dyDescent="0.25">
      <c r="A109" s="46" t="s">
        <v>139</v>
      </c>
    </row>
    <row r="110" spans="1:1" x14ac:dyDescent="0.25">
      <c r="A110" s="47" t="s">
        <v>146</v>
      </c>
    </row>
    <row r="111" spans="1:1" x14ac:dyDescent="0.25">
      <c r="A111" s="48" t="s">
        <v>185</v>
      </c>
    </row>
    <row r="112" spans="1:1" x14ac:dyDescent="0.25">
      <c r="A112" s="3">
        <v>13</v>
      </c>
    </row>
    <row r="113" spans="1:1" x14ac:dyDescent="0.25">
      <c r="A113" s="41" t="s">
        <v>300</v>
      </c>
    </row>
    <row r="114" spans="1:1" x14ac:dyDescent="0.25">
      <c r="A114" s="42" t="s">
        <v>385</v>
      </c>
    </row>
    <row r="115" spans="1:1" x14ac:dyDescent="0.25">
      <c r="A115" s="43" t="s">
        <v>348</v>
      </c>
    </row>
    <row r="116" spans="1:1" x14ac:dyDescent="0.25">
      <c r="A116" s="44" t="s">
        <v>138</v>
      </c>
    </row>
    <row r="117" spans="1:1" x14ac:dyDescent="0.25">
      <c r="A117" s="45">
        <v>28168</v>
      </c>
    </row>
    <row r="118" spans="1:1" x14ac:dyDescent="0.25">
      <c r="A118" s="46" t="s">
        <v>139</v>
      </c>
    </row>
    <row r="119" spans="1:1" x14ac:dyDescent="0.25">
      <c r="A119" s="47" t="s">
        <v>146</v>
      </c>
    </row>
    <row r="120" spans="1:1" x14ac:dyDescent="0.25">
      <c r="A120" s="48" t="s">
        <v>186</v>
      </c>
    </row>
    <row r="121" spans="1:1" x14ac:dyDescent="0.25">
      <c r="A121" s="3">
        <v>14</v>
      </c>
    </row>
    <row r="122" spans="1:1" x14ac:dyDescent="0.25">
      <c r="A122" s="41" t="s">
        <v>301</v>
      </c>
    </row>
    <row r="123" spans="1:1" x14ac:dyDescent="0.25">
      <c r="A123" s="42" t="s">
        <v>386</v>
      </c>
    </row>
    <row r="124" spans="1:1" x14ac:dyDescent="0.25">
      <c r="A124" s="43" t="s">
        <v>349</v>
      </c>
    </row>
    <row r="125" spans="1:1" x14ac:dyDescent="0.25">
      <c r="A125" s="44" t="s">
        <v>142</v>
      </c>
    </row>
    <row r="126" spans="1:1" x14ac:dyDescent="0.25">
      <c r="A126" s="45">
        <v>21788</v>
      </c>
    </row>
    <row r="127" spans="1:1" x14ac:dyDescent="0.25">
      <c r="A127" s="46" t="s">
        <v>148</v>
      </c>
    </row>
    <row r="128" spans="1:1" x14ac:dyDescent="0.25">
      <c r="A128" s="47" t="s">
        <v>149</v>
      </c>
    </row>
    <row r="129" spans="1:1" x14ac:dyDescent="0.25">
      <c r="A129" s="48" t="s">
        <v>187</v>
      </c>
    </row>
    <row r="130" spans="1:1" x14ac:dyDescent="0.25">
      <c r="A130" s="3">
        <v>15</v>
      </c>
    </row>
    <row r="131" spans="1:1" x14ac:dyDescent="0.25">
      <c r="A131" s="41" t="s">
        <v>302</v>
      </c>
    </row>
    <row r="132" spans="1:1" x14ac:dyDescent="0.25">
      <c r="A132" s="42" t="s">
        <v>387</v>
      </c>
    </row>
    <row r="133" spans="1:1" x14ac:dyDescent="0.25">
      <c r="A133" s="43" t="s">
        <v>350</v>
      </c>
    </row>
    <row r="134" spans="1:1" x14ac:dyDescent="0.25">
      <c r="A134" s="44" t="s">
        <v>138</v>
      </c>
    </row>
    <row r="135" spans="1:1" x14ac:dyDescent="0.25">
      <c r="A135" s="45">
        <v>23804</v>
      </c>
    </row>
    <row r="136" spans="1:1" x14ac:dyDescent="0.25">
      <c r="A136" s="46" t="s">
        <v>148</v>
      </c>
    </row>
    <row r="137" spans="1:1" x14ac:dyDescent="0.25">
      <c r="A137" s="47" t="s">
        <v>149</v>
      </c>
    </row>
    <row r="138" spans="1:1" x14ac:dyDescent="0.25">
      <c r="A138" s="48" t="s">
        <v>188</v>
      </c>
    </row>
    <row r="139" spans="1:1" x14ac:dyDescent="0.25">
      <c r="A139" s="3">
        <v>16</v>
      </c>
    </row>
    <row r="140" spans="1:1" x14ac:dyDescent="0.25">
      <c r="A140" s="41" t="s">
        <v>303</v>
      </c>
    </row>
    <row r="141" spans="1:1" x14ac:dyDescent="0.25">
      <c r="A141" s="42" t="s">
        <v>388</v>
      </c>
    </row>
    <row r="142" spans="1:1" x14ac:dyDescent="0.25">
      <c r="A142" s="43" t="s">
        <v>340</v>
      </c>
    </row>
    <row r="143" spans="1:1" x14ac:dyDescent="0.25">
      <c r="A143" s="44" t="s">
        <v>142</v>
      </c>
    </row>
    <row r="144" spans="1:1" x14ac:dyDescent="0.25">
      <c r="A144" s="45">
        <v>25405</v>
      </c>
    </row>
    <row r="145" spans="1:1" x14ac:dyDescent="0.25">
      <c r="A145" s="46" t="s">
        <v>148</v>
      </c>
    </row>
    <row r="146" spans="1:1" x14ac:dyDescent="0.25">
      <c r="A146" s="47" t="s">
        <v>149</v>
      </c>
    </row>
    <row r="147" spans="1:1" x14ac:dyDescent="0.25">
      <c r="A147" s="48" t="s">
        <v>178</v>
      </c>
    </row>
    <row r="148" spans="1:1" x14ac:dyDescent="0.25">
      <c r="A148" s="3">
        <v>17</v>
      </c>
    </row>
    <row r="149" spans="1:1" x14ac:dyDescent="0.25">
      <c r="A149" s="41" t="s">
        <v>304</v>
      </c>
    </row>
    <row r="150" spans="1:1" x14ac:dyDescent="0.25">
      <c r="A150" s="42" t="s">
        <v>389</v>
      </c>
    </row>
    <row r="151" spans="1:1" x14ac:dyDescent="0.25">
      <c r="A151" s="43" t="s">
        <v>351</v>
      </c>
    </row>
    <row r="152" spans="1:1" x14ac:dyDescent="0.25">
      <c r="A152" s="44" t="s">
        <v>142</v>
      </c>
    </row>
    <row r="153" spans="1:1" x14ac:dyDescent="0.25">
      <c r="A153" s="45">
        <v>26582</v>
      </c>
    </row>
    <row r="154" spans="1:1" x14ac:dyDescent="0.25">
      <c r="A154" s="46" t="s">
        <v>148</v>
      </c>
    </row>
    <row r="155" spans="1:1" x14ac:dyDescent="0.25">
      <c r="A155" s="47" t="s">
        <v>149</v>
      </c>
    </row>
    <row r="156" spans="1:1" x14ac:dyDescent="0.25">
      <c r="A156" s="48" t="s">
        <v>189</v>
      </c>
    </row>
    <row r="157" spans="1:1" x14ac:dyDescent="0.25">
      <c r="A157" s="3">
        <v>18</v>
      </c>
    </row>
    <row r="158" spans="1:1" x14ac:dyDescent="0.25">
      <c r="A158" s="41" t="s">
        <v>305</v>
      </c>
    </row>
    <row r="159" spans="1:1" x14ac:dyDescent="0.25">
      <c r="A159" s="42" t="s">
        <v>390</v>
      </c>
    </row>
    <row r="160" spans="1:1" x14ac:dyDescent="0.25">
      <c r="A160" s="43" t="s">
        <v>349</v>
      </c>
    </row>
    <row r="161" spans="1:1" x14ac:dyDescent="0.25">
      <c r="A161" s="44" t="s">
        <v>142</v>
      </c>
    </row>
    <row r="162" spans="1:1" x14ac:dyDescent="0.25">
      <c r="A162" s="45">
        <v>21793</v>
      </c>
    </row>
    <row r="163" spans="1:1" x14ac:dyDescent="0.25">
      <c r="A163" s="46" t="s">
        <v>148</v>
      </c>
    </row>
    <row r="164" spans="1:1" x14ac:dyDescent="0.25">
      <c r="A164" s="47" t="s">
        <v>149</v>
      </c>
    </row>
    <row r="165" spans="1:1" x14ac:dyDescent="0.25">
      <c r="A165" s="48" t="s">
        <v>190</v>
      </c>
    </row>
    <row r="166" spans="1:1" x14ac:dyDescent="0.25">
      <c r="A166" s="3">
        <v>19</v>
      </c>
    </row>
    <row r="167" spans="1:1" x14ac:dyDescent="0.25">
      <c r="A167" s="41" t="s">
        <v>306</v>
      </c>
    </row>
    <row r="168" spans="1:1" x14ac:dyDescent="0.25">
      <c r="A168" s="42" t="s">
        <v>391</v>
      </c>
    </row>
    <row r="169" spans="1:1" x14ac:dyDescent="0.25">
      <c r="A169" s="43" t="s">
        <v>348</v>
      </c>
    </row>
    <row r="170" spans="1:1" x14ac:dyDescent="0.25">
      <c r="A170" s="44" t="s">
        <v>138</v>
      </c>
    </row>
    <row r="171" spans="1:1" x14ac:dyDescent="0.25">
      <c r="A171" s="45">
        <v>28262</v>
      </c>
    </row>
    <row r="172" spans="1:1" x14ac:dyDescent="0.25">
      <c r="A172" s="46" t="s">
        <v>139</v>
      </c>
    </row>
    <row r="173" spans="1:1" x14ac:dyDescent="0.25">
      <c r="A173" s="47" t="s">
        <v>151</v>
      </c>
    </row>
    <row r="174" spans="1:1" x14ac:dyDescent="0.25">
      <c r="A174" s="48" t="s">
        <v>191</v>
      </c>
    </row>
    <row r="175" spans="1:1" x14ac:dyDescent="0.25">
      <c r="A175" s="3">
        <v>20</v>
      </c>
    </row>
    <row r="176" spans="1:1" x14ac:dyDescent="0.25">
      <c r="A176" s="41" t="s">
        <v>307</v>
      </c>
    </row>
    <row r="177" spans="1:1" x14ac:dyDescent="0.25">
      <c r="A177" s="42" t="s">
        <v>392</v>
      </c>
    </row>
    <row r="178" spans="1:1" x14ac:dyDescent="0.25">
      <c r="A178" s="43" t="s">
        <v>352</v>
      </c>
    </row>
    <row r="179" spans="1:1" x14ac:dyDescent="0.25">
      <c r="A179" s="44" t="s">
        <v>142</v>
      </c>
    </row>
    <row r="180" spans="1:1" x14ac:dyDescent="0.25">
      <c r="A180" s="45">
        <v>27767</v>
      </c>
    </row>
    <row r="181" spans="1:1" x14ac:dyDescent="0.25">
      <c r="A181" s="46" t="s">
        <v>139</v>
      </c>
    </row>
    <row r="182" spans="1:1" x14ac:dyDescent="0.25">
      <c r="A182" s="47" t="s">
        <v>151</v>
      </c>
    </row>
    <row r="183" spans="1:1" x14ac:dyDescent="0.25">
      <c r="A183" s="48" t="s">
        <v>192</v>
      </c>
    </row>
    <row r="184" spans="1:1" x14ac:dyDescent="0.25">
      <c r="A184" s="3">
        <v>21</v>
      </c>
    </row>
    <row r="185" spans="1:1" x14ac:dyDescent="0.25">
      <c r="A185" s="41" t="s">
        <v>308</v>
      </c>
    </row>
    <row r="186" spans="1:1" x14ac:dyDescent="0.25">
      <c r="A186" s="42" t="s">
        <v>393</v>
      </c>
    </row>
    <row r="187" spans="1:1" x14ac:dyDescent="0.25">
      <c r="A187" s="43" t="s">
        <v>353</v>
      </c>
    </row>
    <row r="188" spans="1:1" x14ac:dyDescent="0.25">
      <c r="A188" s="44" t="s">
        <v>142</v>
      </c>
    </row>
    <row r="189" spans="1:1" x14ac:dyDescent="0.25">
      <c r="A189" s="45">
        <v>35268</v>
      </c>
    </row>
    <row r="190" spans="1:1" x14ac:dyDescent="0.25">
      <c r="A190" s="46" t="s">
        <v>139</v>
      </c>
    </row>
    <row r="191" spans="1:1" x14ac:dyDescent="0.25">
      <c r="A191" s="47" t="s">
        <v>151</v>
      </c>
    </row>
    <row r="192" spans="1:1" x14ac:dyDescent="0.25">
      <c r="A192" s="48" t="s">
        <v>193</v>
      </c>
    </row>
    <row r="193" spans="1:1" x14ac:dyDescent="0.25">
      <c r="A193" s="3">
        <v>22</v>
      </c>
    </row>
    <row r="194" spans="1:1" x14ac:dyDescent="0.25">
      <c r="A194" s="41" t="s">
        <v>309</v>
      </c>
    </row>
    <row r="195" spans="1:1" x14ac:dyDescent="0.25">
      <c r="A195" s="42" t="s">
        <v>394</v>
      </c>
    </row>
    <row r="196" spans="1:1" x14ac:dyDescent="0.25">
      <c r="A196" s="43" t="s">
        <v>346</v>
      </c>
    </row>
    <row r="197" spans="1:1" x14ac:dyDescent="0.25">
      <c r="A197" s="44" t="s">
        <v>138</v>
      </c>
    </row>
    <row r="198" spans="1:1" x14ac:dyDescent="0.25">
      <c r="A198" s="45">
        <v>23483</v>
      </c>
    </row>
    <row r="199" spans="1:1" x14ac:dyDescent="0.25">
      <c r="A199" s="46" t="s">
        <v>139</v>
      </c>
    </row>
    <row r="200" spans="1:1" x14ac:dyDescent="0.25">
      <c r="A200" s="47" t="s">
        <v>151</v>
      </c>
    </row>
    <row r="201" spans="1:1" x14ac:dyDescent="0.25">
      <c r="A201" s="48" t="s">
        <v>194</v>
      </c>
    </row>
    <row r="202" spans="1:1" x14ac:dyDescent="0.25">
      <c r="A202" s="3">
        <v>23</v>
      </c>
    </row>
    <row r="203" spans="1:1" x14ac:dyDescent="0.25">
      <c r="A203" s="41" t="s">
        <v>310</v>
      </c>
    </row>
    <row r="204" spans="1:1" x14ac:dyDescent="0.25">
      <c r="A204" s="42" t="s">
        <v>395</v>
      </c>
    </row>
    <row r="205" spans="1:1" x14ac:dyDescent="0.25">
      <c r="A205" s="43" t="s">
        <v>354</v>
      </c>
    </row>
    <row r="206" spans="1:1" x14ac:dyDescent="0.25">
      <c r="A206" s="44" t="s">
        <v>138</v>
      </c>
    </row>
    <row r="207" spans="1:1" x14ac:dyDescent="0.25">
      <c r="A207" s="45">
        <v>20437</v>
      </c>
    </row>
    <row r="208" spans="1:1" x14ac:dyDescent="0.25">
      <c r="A208" s="46" t="s">
        <v>139</v>
      </c>
    </row>
    <row r="209" spans="1:1" x14ac:dyDescent="0.25">
      <c r="A209" s="47" t="s">
        <v>151</v>
      </c>
    </row>
    <row r="210" spans="1:1" x14ac:dyDescent="0.25">
      <c r="A210" s="48" t="s">
        <v>195</v>
      </c>
    </row>
    <row r="211" spans="1:1" x14ac:dyDescent="0.25">
      <c r="A211" s="3">
        <v>24</v>
      </c>
    </row>
    <row r="212" spans="1:1" x14ac:dyDescent="0.25">
      <c r="A212" s="41" t="s">
        <v>311</v>
      </c>
    </row>
    <row r="213" spans="1:1" x14ac:dyDescent="0.25">
      <c r="A213" s="42" t="s">
        <v>396</v>
      </c>
    </row>
    <row r="214" spans="1:1" x14ac:dyDescent="0.25">
      <c r="A214" s="43" t="s">
        <v>343</v>
      </c>
    </row>
    <row r="215" spans="1:1" x14ac:dyDescent="0.25">
      <c r="A215" s="44" t="s">
        <v>138</v>
      </c>
    </row>
    <row r="216" spans="1:1" x14ac:dyDescent="0.25">
      <c r="A216" s="45">
        <v>36400</v>
      </c>
    </row>
    <row r="217" spans="1:1" x14ac:dyDescent="0.25">
      <c r="A217" s="46" t="s">
        <v>139</v>
      </c>
    </row>
    <row r="218" spans="1:1" x14ac:dyDescent="0.25">
      <c r="A218" s="47" t="s">
        <v>151</v>
      </c>
    </row>
    <row r="219" spans="1:1" x14ac:dyDescent="0.25">
      <c r="A219" s="48" t="s">
        <v>196</v>
      </c>
    </row>
    <row r="220" spans="1:1" x14ac:dyDescent="0.25">
      <c r="A220" s="3">
        <v>25</v>
      </c>
    </row>
    <row r="221" spans="1:1" x14ac:dyDescent="0.25">
      <c r="A221" s="41" t="s">
        <v>312</v>
      </c>
    </row>
    <row r="222" spans="1:1" x14ac:dyDescent="0.25">
      <c r="A222" s="42" t="s">
        <v>397</v>
      </c>
    </row>
    <row r="223" spans="1:1" x14ac:dyDescent="0.25">
      <c r="A223" s="43" t="s">
        <v>355</v>
      </c>
    </row>
    <row r="224" spans="1:1" x14ac:dyDescent="0.25">
      <c r="A224" s="44" t="s">
        <v>138</v>
      </c>
    </row>
    <row r="225" spans="1:1" x14ac:dyDescent="0.25">
      <c r="A225" s="45">
        <v>24309</v>
      </c>
    </row>
    <row r="226" spans="1:1" x14ac:dyDescent="0.25">
      <c r="A226" s="46" t="s">
        <v>139</v>
      </c>
    </row>
    <row r="227" spans="1:1" x14ac:dyDescent="0.25">
      <c r="A227" s="47" t="s">
        <v>151</v>
      </c>
    </row>
    <row r="228" spans="1:1" x14ac:dyDescent="0.25">
      <c r="A228" s="48" t="s">
        <v>181</v>
      </c>
    </row>
    <row r="229" spans="1:1" x14ac:dyDescent="0.25">
      <c r="A229" s="3">
        <v>26</v>
      </c>
    </row>
    <row r="230" spans="1:1" x14ac:dyDescent="0.25">
      <c r="A230" s="41" t="s">
        <v>313</v>
      </c>
    </row>
    <row r="231" spans="1:1" x14ac:dyDescent="0.25">
      <c r="A231" s="42" t="s">
        <v>398</v>
      </c>
    </row>
    <row r="232" spans="1:1" x14ac:dyDescent="0.25">
      <c r="A232" s="43" t="s">
        <v>356</v>
      </c>
    </row>
    <row r="233" spans="1:1" x14ac:dyDescent="0.25">
      <c r="A233" s="44" t="s">
        <v>138</v>
      </c>
    </row>
    <row r="234" spans="1:1" x14ac:dyDescent="0.25">
      <c r="A234" s="45">
        <v>28570</v>
      </c>
    </row>
    <row r="235" spans="1:1" x14ac:dyDescent="0.25">
      <c r="A235" s="46" t="s">
        <v>139</v>
      </c>
    </row>
    <row r="236" spans="1:1" x14ac:dyDescent="0.25">
      <c r="A236" s="47" t="s">
        <v>151</v>
      </c>
    </row>
    <row r="237" spans="1:1" x14ac:dyDescent="0.25">
      <c r="A237" s="48" t="s">
        <v>174</v>
      </c>
    </row>
    <row r="238" spans="1:1" x14ac:dyDescent="0.25">
      <c r="A238" s="3">
        <v>27</v>
      </c>
    </row>
    <row r="239" spans="1:1" x14ac:dyDescent="0.25">
      <c r="A239" s="41" t="s">
        <v>314</v>
      </c>
    </row>
    <row r="240" spans="1:1" x14ac:dyDescent="0.25">
      <c r="A240" s="42" t="s">
        <v>399</v>
      </c>
    </row>
    <row r="241" spans="1:1" x14ac:dyDescent="0.25">
      <c r="A241" s="43" t="s">
        <v>342</v>
      </c>
    </row>
    <row r="242" spans="1:1" x14ac:dyDescent="0.25">
      <c r="A242" s="44" t="s">
        <v>142</v>
      </c>
    </row>
    <row r="243" spans="1:1" x14ac:dyDescent="0.25">
      <c r="A243" s="45">
        <v>25767</v>
      </c>
    </row>
    <row r="244" spans="1:1" x14ac:dyDescent="0.25">
      <c r="A244" s="46" t="s">
        <v>148</v>
      </c>
    </row>
    <row r="245" spans="1:1" x14ac:dyDescent="0.25">
      <c r="A245" s="47" t="s">
        <v>153</v>
      </c>
    </row>
    <row r="246" spans="1:1" x14ac:dyDescent="0.25">
      <c r="A246" s="48" t="s">
        <v>197</v>
      </c>
    </row>
    <row r="247" spans="1:1" x14ac:dyDescent="0.25">
      <c r="A247" s="3">
        <v>28</v>
      </c>
    </row>
    <row r="248" spans="1:1" x14ac:dyDescent="0.25">
      <c r="A248" s="41" t="s">
        <v>315</v>
      </c>
    </row>
    <row r="249" spans="1:1" x14ac:dyDescent="0.25">
      <c r="A249" s="42" t="s">
        <v>400</v>
      </c>
    </row>
    <row r="250" spans="1:1" x14ac:dyDescent="0.25">
      <c r="A250" s="43" t="s">
        <v>357</v>
      </c>
    </row>
    <row r="251" spans="1:1" x14ac:dyDescent="0.25">
      <c r="A251" s="44" t="s">
        <v>142</v>
      </c>
    </row>
    <row r="252" spans="1:1" x14ac:dyDescent="0.25">
      <c r="A252" s="45">
        <v>30020</v>
      </c>
    </row>
    <row r="253" spans="1:1" x14ac:dyDescent="0.25">
      <c r="A253" s="46" t="s">
        <v>148</v>
      </c>
    </row>
    <row r="254" spans="1:1" x14ac:dyDescent="0.25">
      <c r="A254" s="47" t="s">
        <v>153</v>
      </c>
    </row>
    <row r="255" spans="1:1" x14ac:dyDescent="0.25">
      <c r="A255" s="48" t="s">
        <v>186</v>
      </c>
    </row>
    <row r="256" spans="1:1" x14ac:dyDescent="0.25">
      <c r="A256" s="3">
        <v>29</v>
      </c>
    </row>
    <row r="257" spans="1:1" x14ac:dyDescent="0.25">
      <c r="A257" s="41" t="s">
        <v>316</v>
      </c>
    </row>
    <row r="258" spans="1:1" x14ac:dyDescent="0.25">
      <c r="A258" s="42" t="s">
        <v>401</v>
      </c>
    </row>
    <row r="259" spans="1:1" x14ac:dyDescent="0.25">
      <c r="A259" s="43" t="s">
        <v>358</v>
      </c>
    </row>
    <row r="260" spans="1:1" x14ac:dyDescent="0.25">
      <c r="A260" s="44" t="s">
        <v>138</v>
      </c>
    </row>
    <row r="261" spans="1:1" x14ac:dyDescent="0.25">
      <c r="A261" s="45">
        <v>34361</v>
      </c>
    </row>
    <row r="262" spans="1:1" x14ac:dyDescent="0.25">
      <c r="A262" s="46" t="s">
        <v>148</v>
      </c>
    </row>
    <row r="263" spans="1:1" x14ac:dyDescent="0.25">
      <c r="A263" s="47" t="s">
        <v>153</v>
      </c>
    </row>
    <row r="264" spans="1:1" x14ac:dyDescent="0.25">
      <c r="A264" s="48" t="s">
        <v>181</v>
      </c>
    </row>
    <row r="265" spans="1:1" x14ac:dyDescent="0.25">
      <c r="A265" s="3">
        <v>30</v>
      </c>
    </row>
    <row r="266" spans="1:1" x14ac:dyDescent="0.25">
      <c r="A266" s="41" t="s">
        <v>317</v>
      </c>
    </row>
    <row r="267" spans="1:1" x14ac:dyDescent="0.25">
      <c r="A267" s="42" t="s">
        <v>402</v>
      </c>
    </row>
    <row r="268" spans="1:1" x14ac:dyDescent="0.25">
      <c r="A268" s="43" t="s">
        <v>359</v>
      </c>
    </row>
    <row r="269" spans="1:1" x14ac:dyDescent="0.25">
      <c r="A269" s="44" t="s">
        <v>138</v>
      </c>
    </row>
    <row r="270" spans="1:1" x14ac:dyDescent="0.25">
      <c r="A270" s="45">
        <v>29137</v>
      </c>
    </row>
    <row r="271" spans="1:1" x14ac:dyDescent="0.25">
      <c r="A271" s="46" t="s">
        <v>155</v>
      </c>
    </row>
    <row r="272" spans="1:1" x14ac:dyDescent="0.25">
      <c r="A272" s="47" t="s">
        <v>156</v>
      </c>
    </row>
    <row r="273" spans="1:1" x14ac:dyDescent="0.25">
      <c r="A273" s="48" t="s">
        <v>198</v>
      </c>
    </row>
    <row r="274" spans="1:1" x14ac:dyDescent="0.25">
      <c r="A274" s="3">
        <v>31</v>
      </c>
    </row>
    <row r="275" spans="1:1" x14ac:dyDescent="0.25">
      <c r="A275" s="41" t="s">
        <v>318</v>
      </c>
    </row>
    <row r="276" spans="1:1" x14ac:dyDescent="0.25">
      <c r="A276" s="42" t="s">
        <v>403</v>
      </c>
    </row>
    <row r="277" spans="1:1" x14ac:dyDescent="0.25">
      <c r="A277" s="43" t="s">
        <v>360</v>
      </c>
    </row>
    <row r="278" spans="1:1" x14ac:dyDescent="0.25">
      <c r="A278" s="44" t="s">
        <v>138</v>
      </c>
    </row>
    <row r="279" spans="1:1" x14ac:dyDescent="0.25">
      <c r="A279" s="45">
        <v>32867</v>
      </c>
    </row>
    <row r="280" spans="1:1" x14ac:dyDescent="0.25">
      <c r="A280" s="46" t="s">
        <v>155</v>
      </c>
    </row>
    <row r="281" spans="1:1" x14ac:dyDescent="0.25">
      <c r="A281" s="47" t="s">
        <v>156</v>
      </c>
    </row>
    <row r="282" spans="1:1" x14ac:dyDescent="0.25">
      <c r="A282" s="48" t="s">
        <v>197</v>
      </c>
    </row>
    <row r="283" spans="1:1" x14ac:dyDescent="0.25">
      <c r="A283" s="3">
        <v>32</v>
      </c>
    </row>
    <row r="284" spans="1:1" x14ac:dyDescent="0.25">
      <c r="A284" s="41" t="s">
        <v>319</v>
      </c>
    </row>
    <row r="285" spans="1:1" x14ac:dyDescent="0.25">
      <c r="A285" s="42" t="s">
        <v>404</v>
      </c>
    </row>
    <row r="286" spans="1:1" x14ac:dyDescent="0.25">
      <c r="A286" s="43" t="s">
        <v>342</v>
      </c>
    </row>
    <row r="287" spans="1:1" x14ac:dyDescent="0.25">
      <c r="A287" s="44" t="s">
        <v>138</v>
      </c>
    </row>
    <row r="288" spans="1:1" x14ac:dyDescent="0.25">
      <c r="A288" s="45">
        <v>25925</v>
      </c>
    </row>
    <row r="289" spans="1:1" x14ac:dyDescent="0.25">
      <c r="A289" s="46" t="s">
        <v>155</v>
      </c>
    </row>
    <row r="290" spans="1:1" x14ac:dyDescent="0.25">
      <c r="A290" s="47" t="s">
        <v>156</v>
      </c>
    </row>
    <row r="291" spans="1:1" x14ac:dyDescent="0.25">
      <c r="A291" s="48" t="s">
        <v>195</v>
      </c>
    </row>
    <row r="292" spans="1:1" x14ac:dyDescent="0.25">
      <c r="A292" s="3">
        <v>33</v>
      </c>
    </row>
    <row r="293" spans="1:1" x14ac:dyDescent="0.25">
      <c r="A293" s="41" t="s">
        <v>320</v>
      </c>
    </row>
    <row r="294" spans="1:1" x14ac:dyDescent="0.25">
      <c r="A294" s="42" t="s">
        <v>405</v>
      </c>
    </row>
    <row r="295" spans="1:1" x14ac:dyDescent="0.25">
      <c r="A295" s="43" t="s">
        <v>361</v>
      </c>
    </row>
    <row r="296" spans="1:1" x14ac:dyDescent="0.25">
      <c r="A296" s="44" t="s">
        <v>142</v>
      </c>
    </row>
    <row r="297" spans="1:1" x14ac:dyDescent="0.25">
      <c r="A297" s="45">
        <v>29529</v>
      </c>
    </row>
    <row r="298" spans="1:1" x14ac:dyDescent="0.25">
      <c r="A298" s="46" t="s">
        <v>155</v>
      </c>
    </row>
    <row r="299" spans="1:1" x14ac:dyDescent="0.25">
      <c r="A299" s="47" t="s">
        <v>156</v>
      </c>
    </row>
    <row r="300" spans="1:1" x14ac:dyDescent="0.25">
      <c r="A300" s="48" t="s">
        <v>199</v>
      </c>
    </row>
    <row r="301" spans="1:1" x14ac:dyDescent="0.25">
      <c r="A301" s="3">
        <v>34</v>
      </c>
    </row>
    <row r="302" spans="1:1" x14ac:dyDescent="0.25">
      <c r="A302" s="41" t="s">
        <v>321</v>
      </c>
    </row>
    <row r="303" spans="1:1" x14ac:dyDescent="0.25">
      <c r="A303" s="42" t="s">
        <v>406</v>
      </c>
    </row>
    <row r="304" spans="1:1" x14ac:dyDescent="0.25">
      <c r="A304" s="43" t="s">
        <v>362</v>
      </c>
    </row>
    <row r="305" spans="1:1" x14ac:dyDescent="0.25">
      <c r="A305" s="44" t="s">
        <v>142</v>
      </c>
    </row>
    <row r="306" spans="1:1" x14ac:dyDescent="0.25">
      <c r="A306" s="45">
        <v>29875</v>
      </c>
    </row>
    <row r="307" spans="1:1" x14ac:dyDescent="0.25">
      <c r="A307" s="46" t="s">
        <v>155</v>
      </c>
    </row>
    <row r="308" spans="1:1" x14ac:dyDescent="0.25">
      <c r="A308" s="47" t="s">
        <v>156</v>
      </c>
    </row>
    <row r="309" spans="1:1" x14ac:dyDescent="0.25">
      <c r="A309" s="48" t="s">
        <v>193</v>
      </c>
    </row>
    <row r="310" spans="1:1" x14ac:dyDescent="0.25">
      <c r="A310" s="3">
        <v>35</v>
      </c>
    </row>
    <row r="311" spans="1:1" x14ac:dyDescent="0.25">
      <c r="A311" s="41" t="s">
        <v>322</v>
      </c>
    </row>
    <row r="312" spans="1:1" x14ac:dyDescent="0.25">
      <c r="A312" s="42" t="s">
        <v>407</v>
      </c>
    </row>
    <row r="313" spans="1:1" x14ac:dyDescent="0.25">
      <c r="A313" s="43" t="s">
        <v>354</v>
      </c>
    </row>
    <row r="314" spans="1:1" x14ac:dyDescent="0.25">
      <c r="A314" s="44" t="s">
        <v>142</v>
      </c>
    </row>
    <row r="315" spans="1:1" x14ac:dyDescent="0.25">
      <c r="A315" s="45">
        <v>20300</v>
      </c>
    </row>
    <row r="316" spans="1:1" x14ac:dyDescent="0.25">
      <c r="A316" s="46" t="s">
        <v>155</v>
      </c>
    </row>
    <row r="317" spans="1:1" x14ac:dyDescent="0.25">
      <c r="A317" s="47" t="s">
        <v>156</v>
      </c>
    </row>
    <row r="318" spans="1:1" x14ac:dyDescent="0.25">
      <c r="A318" s="48" t="s">
        <v>200</v>
      </c>
    </row>
    <row r="319" spans="1:1" x14ac:dyDescent="0.25">
      <c r="A319" s="3">
        <v>36</v>
      </c>
    </row>
    <row r="320" spans="1:1" x14ac:dyDescent="0.25">
      <c r="A320" s="41" t="s">
        <v>323</v>
      </c>
    </row>
    <row r="321" spans="1:1" x14ac:dyDescent="0.25">
      <c r="A321" s="42" t="s">
        <v>408</v>
      </c>
    </row>
    <row r="322" spans="1:1" x14ac:dyDescent="0.25">
      <c r="A322" s="43" t="s">
        <v>341</v>
      </c>
    </row>
    <row r="323" spans="1:1" x14ac:dyDescent="0.25">
      <c r="A323" s="44" t="s">
        <v>142</v>
      </c>
    </row>
    <row r="324" spans="1:1" x14ac:dyDescent="0.25">
      <c r="A324" s="45">
        <v>27428</v>
      </c>
    </row>
    <row r="325" spans="1:1" x14ac:dyDescent="0.25">
      <c r="A325" s="46" t="s">
        <v>155</v>
      </c>
    </row>
    <row r="326" spans="1:1" x14ac:dyDescent="0.25">
      <c r="A326" s="47" t="s">
        <v>156</v>
      </c>
    </row>
    <row r="327" spans="1:1" x14ac:dyDescent="0.25">
      <c r="A327" s="48" t="s">
        <v>193</v>
      </c>
    </row>
    <row r="328" spans="1:1" x14ac:dyDescent="0.25">
      <c r="A328" s="3">
        <v>37</v>
      </c>
    </row>
    <row r="329" spans="1:1" x14ac:dyDescent="0.25">
      <c r="A329" s="41" t="s">
        <v>324</v>
      </c>
    </row>
    <row r="330" spans="1:1" x14ac:dyDescent="0.25">
      <c r="A330" s="42" t="s">
        <v>409</v>
      </c>
    </row>
    <row r="331" spans="1:1" x14ac:dyDescent="0.25">
      <c r="A331" s="43" t="s">
        <v>347</v>
      </c>
    </row>
    <row r="332" spans="1:1" x14ac:dyDescent="0.25">
      <c r="A332" s="44" t="s">
        <v>142</v>
      </c>
    </row>
    <row r="333" spans="1:1" x14ac:dyDescent="0.25">
      <c r="A333" s="45">
        <v>31585</v>
      </c>
    </row>
    <row r="334" spans="1:1" x14ac:dyDescent="0.25">
      <c r="A334" s="46" t="s">
        <v>155</v>
      </c>
    </row>
    <row r="335" spans="1:1" x14ac:dyDescent="0.25">
      <c r="A335" s="47" t="s">
        <v>156</v>
      </c>
    </row>
    <row r="336" spans="1:1" x14ac:dyDescent="0.25">
      <c r="A336" s="48" t="s">
        <v>201</v>
      </c>
    </row>
    <row r="337" spans="1:1" x14ac:dyDescent="0.25">
      <c r="A337" s="3">
        <v>38</v>
      </c>
    </row>
    <row r="338" spans="1:1" x14ac:dyDescent="0.25">
      <c r="A338" s="41" t="s">
        <v>325</v>
      </c>
    </row>
    <row r="339" spans="1:1" x14ac:dyDescent="0.25">
      <c r="A339" s="42" t="s">
        <v>410</v>
      </c>
    </row>
    <row r="340" spans="1:1" x14ac:dyDescent="0.25">
      <c r="A340" s="43" t="s">
        <v>363</v>
      </c>
    </row>
    <row r="341" spans="1:1" x14ac:dyDescent="0.25">
      <c r="A341" s="44" t="s">
        <v>142</v>
      </c>
    </row>
    <row r="342" spans="1:1" x14ac:dyDescent="0.25">
      <c r="A342" s="45">
        <v>30327</v>
      </c>
    </row>
    <row r="343" spans="1:1" x14ac:dyDescent="0.25">
      <c r="A343" s="46" t="s">
        <v>155</v>
      </c>
    </row>
    <row r="344" spans="1:1" x14ac:dyDescent="0.25">
      <c r="A344" s="47" t="s">
        <v>156</v>
      </c>
    </row>
    <row r="345" spans="1:1" x14ac:dyDescent="0.25">
      <c r="A345" s="48" t="s">
        <v>174</v>
      </c>
    </row>
    <row r="346" spans="1:1" x14ac:dyDescent="0.25">
      <c r="A346" s="3">
        <v>39</v>
      </c>
    </row>
    <row r="347" spans="1:1" x14ac:dyDescent="0.25">
      <c r="A347" s="41" t="s">
        <v>326</v>
      </c>
    </row>
    <row r="348" spans="1:1" x14ac:dyDescent="0.25">
      <c r="A348" s="42" t="s">
        <v>411</v>
      </c>
    </row>
    <row r="349" spans="1:1" x14ac:dyDescent="0.25">
      <c r="A349" s="43" t="s">
        <v>364</v>
      </c>
    </row>
    <row r="350" spans="1:1" x14ac:dyDescent="0.25">
      <c r="A350" s="44" t="s">
        <v>142</v>
      </c>
    </row>
    <row r="351" spans="1:1" x14ac:dyDescent="0.25">
      <c r="A351" s="45">
        <v>31016</v>
      </c>
    </row>
    <row r="352" spans="1:1" x14ac:dyDescent="0.25">
      <c r="A352" s="46" t="s">
        <v>158</v>
      </c>
    </row>
    <row r="353" spans="1:1" x14ac:dyDescent="0.25">
      <c r="A353" s="47" t="s">
        <v>159</v>
      </c>
    </row>
    <row r="354" spans="1:1" x14ac:dyDescent="0.25">
      <c r="A354" s="48" t="s">
        <v>196</v>
      </c>
    </row>
    <row r="355" spans="1:1" x14ac:dyDescent="0.25">
      <c r="A355" s="3">
        <v>40</v>
      </c>
    </row>
    <row r="356" spans="1:1" x14ac:dyDescent="0.25">
      <c r="A356" s="41" t="s">
        <v>327</v>
      </c>
    </row>
    <row r="357" spans="1:1" x14ac:dyDescent="0.25">
      <c r="A357" s="42" t="s">
        <v>412</v>
      </c>
    </row>
    <row r="358" spans="1:1" x14ac:dyDescent="0.25">
      <c r="A358" s="43" t="s">
        <v>365</v>
      </c>
    </row>
    <row r="359" spans="1:1" x14ac:dyDescent="0.25">
      <c r="A359" s="44" t="s">
        <v>142</v>
      </c>
    </row>
    <row r="360" spans="1:1" x14ac:dyDescent="0.25">
      <c r="A360" s="45">
        <v>32314</v>
      </c>
    </row>
    <row r="361" spans="1:1" x14ac:dyDescent="0.25">
      <c r="A361" s="46" t="s">
        <v>158</v>
      </c>
    </row>
    <row r="362" spans="1:1" x14ac:dyDescent="0.25">
      <c r="A362" s="47" t="s">
        <v>159</v>
      </c>
    </row>
    <row r="363" spans="1:1" x14ac:dyDescent="0.25">
      <c r="A363" s="48" t="s">
        <v>195</v>
      </c>
    </row>
    <row r="364" spans="1:1" x14ac:dyDescent="0.25">
      <c r="A364" s="3">
        <v>41</v>
      </c>
    </row>
    <row r="365" spans="1:1" x14ac:dyDescent="0.25">
      <c r="A365" s="41" t="s">
        <v>328</v>
      </c>
    </row>
    <row r="366" spans="1:1" x14ac:dyDescent="0.25">
      <c r="A366" s="42" t="s">
        <v>413</v>
      </c>
    </row>
    <row r="367" spans="1:1" x14ac:dyDescent="0.25">
      <c r="A367" s="43" t="s">
        <v>366</v>
      </c>
    </row>
    <row r="368" spans="1:1" x14ac:dyDescent="0.25">
      <c r="A368" s="44" t="s">
        <v>138</v>
      </c>
    </row>
    <row r="369" spans="1:1" x14ac:dyDescent="0.25">
      <c r="A369" s="45">
        <v>27076</v>
      </c>
    </row>
    <row r="370" spans="1:1" x14ac:dyDescent="0.25">
      <c r="A370" s="46" t="s">
        <v>158</v>
      </c>
    </row>
    <row r="371" spans="1:1" x14ac:dyDescent="0.25">
      <c r="A371" s="47" t="s">
        <v>159</v>
      </c>
    </row>
    <row r="372" spans="1:1" x14ac:dyDescent="0.25">
      <c r="A372" s="48" t="s">
        <v>202</v>
      </c>
    </row>
    <row r="373" spans="1:1" x14ac:dyDescent="0.25">
      <c r="A373" s="3">
        <v>42</v>
      </c>
    </row>
    <row r="374" spans="1:1" x14ac:dyDescent="0.25">
      <c r="A374" s="41" t="s">
        <v>329</v>
      </c>
    </row>
    <row r="375" spans="1:1" x14ac:dyDescent="0.25">
      <c r="A375" s="42" t="s">
        <v>414</v>
      </c>
    </row>
    <row r="376" spans="1:1" x14ac:dyDescent="0.25">
      <c r="A376" s="43" t="s">
        <v>367</v>
      </c>
    </row>
    <row r="377" spans="1:1" x14ac:dyDescent="0.25">
      <c r="A377" s="44" t="s">
        <v>138</v>
      </c>
    </row>
    <row r="378" spans="1:1" x14ac:dyDescent="0.25">
      <c r="A378" s="45">
        <v>32941</v>
      </c>
    </row>
    <row r="379" spans="1:1" x14ac:dyDescent="0.25">
      <c r="A379" s="46" t="s">
        <v>158</v>
      </c>
    </row>
    <row r="380" spans="1:1" x14ac:dyDescent="0.25">
      <c r="A380" s="47" t="s">
        <v>161</v>
      </c>
    </row>
    <row r="381" spans="1:1" x14ac:dyDescent="0.25">
      <c r="A381" s="48" t="s">
        <v>203</v>
      </c>
    </row>
    <row r="382" spans="1:1" x14ac:dyDescent="0.25">
      <c r="A382" s="3">
        <v>43</v>
      </c>
    </row>
    <row r="383" spans="1:1" x14ac:dyDescent="0.25">
      <c r="A383" s="41" t="s">
        <v>330</v>
      </c>
    </row>
    <row r="384" spans="1:1" x14ac:dyDescent="0.25">
      <c r="A384" s="42" t="s">
        <v>415</v>
      </c>
    </row>
    <row r="385" spans="1:1" x14ac:dyDescent="0.25">
      <c r="A385" s="43" t="s">
        <v>368</v>
      </c>
    </row>
    <row r="386" spans="1:1" x14ac:dyDescent="0.25">
      <c r="A386" s="44" t="s">
        <v>138</v>
      </c>
    </row>
    <row r="387" spans="1:1" x14ac:dyDescent="0.25">
      <c r="A387" s="45">
        <v>21927</v>
      </c>
    </row>
    <row r="388" spans="1:1" x14ac:dyDescent="0.25">
      <c r="A388" s="46" t="s">
        <v>158</v>
      </c>
    </row>
    <row r="389" spans="1:1" x14ac:dyDescent="0.25">
      <c r="A389" s="47" t="s">
        <v>161</v>
      </c>
    </row>
    <row r="390" spans="1:1" x14ac:dyDescent="0.25">
      <c r="A390" s="48" t="s">
        <v>196</v>
      </c>
    </row>
    <row r="391" spans="1:1" x14ac:dyDescent="0.25">
      <c r="A391" s="3">
        <v>44</v>
      </c>
    </row>
    <row r="392" spans="1:1" x14ac:dyDescent="0.25">
      <c r="A392" s="41" t="s">
        <v>331</v>
      </c>
    </row>
    <row r="393" spans="1:1" x14ac:dyDescent="0.25">
      <c r="A393" s="42" t="s">
        <v>416</v>
      </c>
    </row>
    <row r="394" spans="1:1" x14ac:dyDescent="0.25">
      <c r="A394" s="43" t="s">
        <v>350</v>
      </c>
    </row>
    <row r="395" spans="1:1" x14ac:dyDescent="0.25">
      <c r="A395" s="44" t="s">
        <v>138</v>
      </c>
    </row>
    <row r="396" spans="1:1" x14ac:dyDescent="0.25">
      <c r="A396" s="45">
        <v>23952</v>
      </c>
    </row>
    <row r="397" spans="1:1" x14ac:dyDescent="0.25">
      <c r="A397" s="46" t="s">
        <v>158</v>
      </c>
    </row>
    <row r="398" spans="1:1" x14ac:dyDescent="0.25">
      <c r="A398" s="47" t="s">
        <v>161</v>
      </c>
    </row>
    <row r="399" spans="1:1" x14ac:dyDescent="0.25">
      <c r="A399" s="48" t="s">
        <v>202</v>
      </c>
    </row>
    <row r="400" spans="1:1" x14ac:dyDescent="0.25">
      <c r="A400" s="3">
        <v>45</v>
      </c>
    </row>
    <row r="401" spans="1:1" x14ac:dyDescent="0.25">
      <c r="A401" s="41" t="s">
        <v>332</v>
      </c>
    </row>
    <row r="402" spans="1:1" x14ac:dyDescent="0.25">
      <c r="A402" s="42" t="s">
        <v>417</v>
      </c>
    </row>
    <row r="403" spans="1:1" x14ac:dyDescent="0.25">
      <c r="A403" s="43" t="s">
        <v>368</v>
      </c>
    </row>
    <row r="404" spans="1:1" x14ac:dyDescent="0.25">
      <c r="A404" s="44" t="s">
        <v>138</v>
      </c>
    </row>
    <row r="405" spans="1:1" x14ac:dyDescent="0.25">
      <c r="A405" s="45">
        <v>22044</v>
      </c>
    </row>
    <row r="406" spans="1:1" x14ac:dyDescent="0.25">
      <c r="A406" s="46" t="s">
        <v>163</v>
      </c>
    </row>
    <row r="407" spans="1:1" x14ac:dyDescent="0.25">
      <c r="A407" s="47" t="s">
        <v>164</v>
      </c>
    </row>
    <row r="408" spans="1:1" x14ac:dyDescent="0.25">
      <c r="A408" s="48" t="s">
        <v>204</v>
      </c>
    </row>
    <row r="409" spans="1:1" x14ac:dyDescent="0.25">
      <c r="A409" s="3">
        <v>46</v>
      </c>
    </row>
    <row r="410" spans="1:1" x14ac:dyDescent="0.25">
      <c r="A410" s="41" t="s">
        <v>333</v>
      </c>
    </row>
    <row r="411" spans="1:1" x14ac:dyDescent="0.25">
      <c r="A411" s="42" t="s">
        <v>418</v>
      </c>
    </row>
    <row r="412" spans="1:1" x14ac:dyDescent="0.25">
      <c r="A412" s="43" t="s">
        <v>369</v>
      </c>
    </row>
    <row r="413" spans="1:1" x14ac:dyDescent="0.25">
      <c r="A413" s="44" t="s">
        <v>142</v>
      </c>
    </row>
    <row r="414" spans="1:1" x14ac:dyDescent="0.25">
      <c r="A414" s="45">
        <v>26940</v>
      </c>
    </row>
    <row r="415" spans="1:1" x14ac:dyDescent="0.25">
      <c r="A415" s="46" t="s">
        <v>163</v>
      </c>
    </row>
    <row r="416" spans="1:1" x14ac:dyDescent="0.25">
      <c r="A416" s="47" t="s">
        <v>164</v>
      </c>
    </row>
    <row r="417" spans="1:1" x14ac:dyDescent="0.25">
      <c r="A417" s="48" t="s">
        <v>195</v>
      </c>
    </row>
    <row r="418" spans="1:1" x14ac:dyDescent="0.25">
      <c r="A418" s="3">
        <v>47</v>
      </c>
    </row>
    <row r="419" spans="1:1" x14ac:dyDescent="0.25">
      <c r="A419" s="41" t="s">
        <v>334</v>
      </c>
    </row>
    <row r="420" spans="1:1" x14ac:dyDescent="0.25">
      <c r="A420" s="42" t="s">
        <v>419</v>
      </c>
    </row>
    <row r="421" spans="1:1" x14ac:dyDescent="0.25">
      <c r="A421" s="43" t="s">
        <v>370</v>
      </c>
    </row>
    <row r="422" spans="1:1" x14ac:dyDescent="0.25">
      <c r="A422" s="44" t="s">
        <v>138</v>
      </c>
    </row>
    <row r="423" spans="1:1" x14ac:dyDescent="0.25">
      <c r="A423" s="45">
        <v>24936</v>
      </c>
    </row>
    <row r="424" spans="1:1" x14ac:dyDescent="0.25">
      <c r="A424" s="46" t="s">
        <v>163</v>
      </c>
    </row>
    <row r="425" spans="1:1" x14ac:dyDescent="0.25">
      <c r="A425" s="47" t="s">
        <v>164</v>
      </c>
    </row>
    <row r="426" spans="1:1" x14ac:dyDescent="0.25">
      <c r="A426" s="48" t="s">
        <v>195</v>
      </c>
    </row>
    <row r="427" spans="1:1" x14ac:dyDescent="0.25">
      <c r="A427" s="3">
        <v>48</v>
      </c>
    </row>
    <row r="428" spans="1:1" x14ac:dyDescent="0.25">
      <c r="A428" s="41" t="s">
        <v>335</v>
      </c>
    </row>
    <row r="429" spans="1:1" x14ac:dyDescent="0.25">
      <c r="A429" s="42" t="s">
        <v>420</v>
      </c>
    </row>
    <row r="430" spans="1:1" x14ac:dyDescent="0.25">
      <c r="A430" s="43" t="s">
        <v>338</v>
      </c>
    </row>
    <row r="431" spans="1:1" x14ac:dyDescent="0.25">
      <c r="A431" s="44" t="s">
        <v>138</v>
      </c>
    </row>
    <row r="432" spans="1:1" x14ac:dyDescent="0.25">
      <c r="A432" s="45">
        <v>35567</v>
      </c>
    </row>
    <row r="433" spans="1:1" x14ac:dyDescent="0.25">
      <c r="A433" s="46" t="s">
        <v>166</v>
      </c>
    </row>
    <row r="434" spans="1:1" x14ac:dyDescent="0.25">
      <c r="A434" s="47" t="s">
        <v>167</v>
      </c>
    </row>
    <row r="435" spans="1:1" x14ac:dyDescent="0.25">
      <c r="A435" s="48" t="s">
        <v>177</v>
      </c>
    </row>
    <row r="436" spans="1:1" x14ac:dyDescent="0.25">
      <c r="A436" s="3">
        <v>49</v>
      </c>
    </row>
    <row r="437" spans="1:1" x14ac:dyDescent="0.25">
      <c r="A437" s="41" t="s">
        <v>336</v>
      </c>
    </row>
    <row r="438" spans="1:1" x14ac:dyDescent="0.25">
      <c r="A438" s="42" t="s">
        <v>421</v>
      </c>
    </row>
    <row r="439" spans="1:1" x14ac:dyDescent="0.25">
      <c r="A439" s="43" t="s">
        <v>371</v>
      </c>
    </row>
    <row r="440" spans="1:1" x14ac:dyDescent="0.25">
      <c r="A440" s="44" t="s">
        <v>142</v>
      </c>
    </row>
    <row r="441" spans="1:1" x14ac:dyDescent="0.25">
      <c r="A441" s="45">
        <v>31832</v>
      </c>
    </row>
    <row r="442" spans="1:1" x14ac:dyDescent="0.25">
      <c r="A442" s="46" t="s">
        <v>166</v>
      </c>
    </row>
    <row r="443" spans="1:1" x14ac:dyDescent="0.25">
      <c r="A443" s="47" t="s">
        <v>167</v>
      </c>
    </row>
    <row r="444" spans="1:1" x14ac:dyDescent="0.25">
      <c r="A444" s="48" t="s">
        <v>205</v>
      </c>
    </row>
    <row r="445" spans="1:1" x14ac:dyDescent="0.25">
      <c r="A445" s="3">
        <v>50</v>
      </c>
    </row>
    <row r="446" spans="1:1" x14ac:dyDescent="0.25">
      <c r="A446" s="41" t="s">
        <v>337</v>
      </c>
    </row>
    <row r="447" spans="1:1" x14ac:dyDescent="0.25">
      <c r="A447" s="42" t="s">
        <v>422</v>
      </c>
    </row>
    <row r="448" spans="1:1" x14ac:dyDescent="0.25">
      <c r="A448" s="43" t="s">
        <v>372</v>
      </c>
    </row>
    <row r="449" spans="1:1" x14ac:dyDescent="0.25">
      <c r="A449" s="44" t="s">
        <v>142</v>
      </c>
    </row>
    <row r="450" spans="1:1" x14ac:dyDescent="0.25">
      <c r="A450" s="45">
        <v>34178</v>
      </c>
    </row>
    <row r="451" spans="1:1" x14ac:dyDescent="0.25">
      <c r="A451" s="46" t="s">
        <v>143</v>
      </c>
    </row>
    <row r="452" spans="1:1" x14ac:dyDescent="0.25">
      <c r="A452" s="47" t="s">
        <v>144</v>
      </c>
    </row>
    <row r="453" spans="1:1" x14ac:dyDescent="0.25">
      <c r="A453" s="48" t="s">
        <v>206</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X51"/>
  <sheetViews>
    <sheetView workbookViewId="0">
      <pane xSplit="1" ySplit="1" topLeftCell="N2" activePane="bottomRight" state="frozen"/>
      <selection pane="topRight" activeCell="B1" sqref="B1"/>
      <selection pane="bottomLeft" activeCell="A2" sqref="A2"/>
      <selection pane="bottomRight" activeCell="Q15" sqref="Q15"/>
    </sheetView>
  </sheetViews>
  <sheetFormatPr defaultRowHeight="15" x14ac:dyDescent="0.25"/>
  <cols>
    <col min="1" max="1" width="9.85546875" bestFit="1" customWidth="1"/>
    <col min="2" max="2" width="26" customWidth="1"/>
    <col min="3" max="3" width="8" customWidth="1"/>
    <col min="4" max="4" width="12" customWidth="1"/>
    <col min="5" max="5" width="11.85546875" bestFit="1" customWidth="1"/>
    <col min="6" max="6" width="13.85546875" bestFit="1" customWidth="1"/>
    <col min="7" max="7" width="10.85546875" style="26" customWidth="1"/>
    <col min="8" max="8" width="13.42578125" customWidth="1"/>
    <col min="9" max="9" width="9.140625" customWidth="1"/>
    <col min="10" max="10" width="12.85546875" bestFit="1" customWidth="1"/>
    <col min="11" max="11" width="29.28515625" customWidth="1"/>
    <col min="12" max="12" width="27" customWidth="1"/>
    <col min="13" max="13" width="36.140625" customWidth="1"/>
    <col min="14" max="14" width="11.7109375" bestFit="1" customWidth="1"/>
    <col min="15" max="15" width="10.42578125" customWidth="1"/>
    <col min="16" max="16" width="10.28515625" bestFit="1" customWidth="1"/>
    <col min="17" max="17" width="18" customWidth="1"/>
    <col min="18" max="18" width="24" bestFit="1" customWidth="1"/>
    <col min="19" max="19" width="10.85546875" customWidth="1"/>
    <col min="20" max="20" width="25.28515625" customWidth="1"/>
    <col min="21" max="21" width="9.85546875" customWidth="1"/>
    <col min="22" max="22" width="17.85546875" customWidth="1"/>
    <col min="23" max="23" width="16.85546875" customWidth="1"/>
    <col min="24" max="24" width="22.140625" customWidth="1"/>
  </cols>
  <sheetData>
    <row r="1" spans="1:24" s="1" customFormat="1" x14ac:dyDescent="0.25">
      <c r="A1" s="6" t="s">
        <v>222</v>
      </c>
      <c r="B1" s="7" t="s">
        <v>221</v>
      </c>
      <c r="C1" s="6" t="s">
        <v>0</v>
      </c>
      <c r="D1" s="6" t="s">
        <v>1</v>
      </c>
      <c r="E1" s="6" t="s">
        <v>2</v>
      </c>
      <c r="F1" s="6" t="s">
        <v>3</v>
      </c>
      <c r="G1" s="24" t="s">
        <v>4</v>
      </c>
      <c r="H1" s="6" t="s">
        <v>5</v>
      </c>
      <c r="I1" s="6" t="s">
        <v>170</v>
      </c>
      <c r="J1" s="6" t="s">
        <v>137</v>
      </c>
      <c r="K1" s="6" t="s">
        <v>228</v>
      </c>
      <c r="L1" s="6" t="s">
        <v>136</v>
      </c>
      <c r="M1" s="6" t="s">
        <v>233</v>
      </c>
      <c r="N1" s="8" t="s">
        <v>246</v>
      </c>
      <c r="O1" s="6" t="s">
        <v>207</v>
      </c>
      <c r="P1" s="6" t="s">
        <v>208</v>
      </c>
      <c r="Q1" s="6" t="s">
        <v>238</v>
      </c>
      <c r="R1" s="6" t="s">
        <v>172</v>
      </c>
      <c r="S1" s="6" t="s">
        <v>239</v>
      </c>
      <c r="T1" s="66" t="s">
        <v>283</v>
      </c>
      <c r="U1" s="62" t="s">
        <v>222</v>
      </c>
      <c r="V1" s="63" t="s">
        <v>4</v>
      </c>
      <c r="W1" s="64" t="s">
        <v>246</v>
      </c>
      <c r="X1" s="65" t="s">
        <v>239</v>
      </c>
    </row>
    <row r="2" spans="1:24" x14ac:dyDescent="0.25">
      <c r="A2" s="2">
        <v>1</v>
      </c>
      <c r="B2" s="3" t="str">
        <f>UPPER(_xlfn.CONCAT(C2," ",D2," ",F2))</f>
        <v>MS. ANNIE ABBOTT</v>
      </c>
      <c r="C2" s="3" t="s">
        <v>6</v>
      </c>
      <c r="D2" s="3" t="s">
        <v>7</v>
      </c>
      <c r="E2" s="3"/>
      <c r="F2" s="3" t="s">
        <v>8</v>
      </c>
      <c r="G2" s="25">
        <v>35699</v>
      </c>
      <c r="H2" s="3" t="s">
        <v>9</v>
      </c>
      <c r="I2" s="3" t="s">
        <v>138</v>
      </c>
      <c r="J2" s="5" t="s">
        <v>141</v>
      </c>
      <c r="K2" s="5" t="str">
        <f>HLOOKUP($J2,LOCATION!$A$2:$M$3,2,0)</f>
        <v>USA</v>
      </c>
      <c r="L2" s="5" t="str">
        <f>INDEX(LOCATION!$A$1:$M$1,1,MATCH($J2,LOCATION!$A$2:$M$2,0))</f>
        <v>English</v>
      </c>
      <c r="M2" s="5" t="str">
        <f>_xlfn.CONCAT(F2,".",D2,"@xyz",IF(L2="English","org",".com"))</f>
        <v>Abbott.Annie@xyzorg</v>
      </c>
      <c r="N2" s="4">
        <v>94</v>
      </c>
      <c r="O2" s="3" t="s">
        <v>209</v>
      </c>
      <c r="P2" s="3" t="s">
        <v>210</v>
      </c>
      <c r="Q2" s="3" t="str">
        <f>_xlfn.XLOOKUP($R2,SPORT!$B$1:$B$33,SPORT!$A$1:$A$33)</f>
        <v>INDOOR</v>
      </c>
      <c r="R2" s="3" t="s">
        <v>174</v>
      </c>
      <c r="S2" s="2">
        <v>80727</v>
      </c>
      <c r="T2" t="str">
        <f>UPPER(B2)</f>
        <v>MS. ANNIE ABBOTT</v>
      </c>
      <c r="U2" s="37">
        <v>1</v>
      </c>
      <c r="V2" s="35">
        <v>35699</v>
      </c>
      <c r="W2" s="36">
        <v>94</v>
      </c>
      <c r="X2" s="38">
        <v>80727</v>
      </c>
    </row>
    <row r="3" spans="1:24" x14ac:dyDescent="0.25">
      <c r="A3" s="2">
        <v>2</v>
      </c>
      <c r="B3" s="3" t="str">
        <f t="shared" ref="B3:B51" si="0">UPPER(_xlfn.CONCAT(C3," ",D3," ",F3))</f>
        <v>MS. AURELIE LIESUCHKE</v>
      </c>
      <c r="C3" s="2" t="s">
        <v>6</v>
      </c>
      <c r="D3" s="2" t="s">
        <v>10</v>
      </c>
      <c r="E3" s="2"/>
      <c r="F3" s="2" t="s">
        <v>11</v>
      </c>
      <c r="G3" s="25">
        <v>33641</v>
      </c>
      <c r="H3" s="2" t="s">
        <v>12</v>
      </c>
      <c r="I3" s="2" t="s">
        <v>138</v>
      </c>
      <c r="J3" s="5" t="s">
        <v>141</v>
      </c>
      <c r="K3" s="5" t="str">
        <f>HLOOKUP($J3,LOCATION!$A$2:$M$3,2,0)</f>
        <v>USA</v>
      </c>
      <c r="L3" s="5" t="str">
        <f>INDEX(LOCATION!$A$1:$M$1,1,MATCH($J3,LOCATION!$A$2:$M$2,0))</f>
        <v>English</v>
      </c>
      <c r="M3" s="5" t="str">
        <f t="shared" ref="M3:M51" si="1">_xlfn.CONCAT(F3,".",D3,"@xyz",IF(L3="English","org",".com"))</f>
        <v>Liesuchke.Aurelie@xyzorg</v>
      </c>
      <c r="N3" s="4">
        <v>84.2</v>
      </c>
      <c r="O3" s="2" t="s">
        <v>211</v>
      </c>
      <c r="P3" s="2" t="s">
        <v>212</v>
      </c>
      <c r="Q3" s="3" t="str">
        <f>_xlfn.XLOOKUP($R3,SPORT!$B$1:$B$33,SPORT!$A$1:$A$33)</f>
        <v>INDOOR</v>
      </c>
      <c r="R3" s="2" t="s">
        <v>175</v>
      </c>
      <c r="S3" s="2">
        <v>87471</v>
      </c>
      <c r="T3" t="str">
        <f t="shared" ref="T3:T51" si="2">UPPER(B3)</f>
        <v>MS. AURELIE LIESUCHKE</v>
      </c>
      <c r="U3" s="37">
        <v>2</v>
      </c>
      <c r="V3" s="35">
        <v>33641</v>
      </c>
      <c r="W3" s="36">
        <v>84.2</v>
      </c>
      <c r="X3" s="38">
        <v>87471</v>
      </c>
    </row>
    <row r="4" spans="1:24" x14ac:dyDescent="0.25">
      <c r="A4" s="2">
        <v>3</v>
      </c>
      <c r="B4" s="3" t="str">
        <f t="shared" si="0"/>
        <v>SR. TOMAS FILHO</v>
      </c>
      <c r="C4" s="2" t="s">
        <v>13</v>
      </c>
      <c r="D4" s="2" t="s">
        <v>14</v>
      </c>
      <c r="E4" s="2" t="s">
        <v>15</v>
      </c>
      <c r="F4" s="2" t="s">
        <v>16</v>
      </c>
      <c r="G4" s="25">
        <v>25394</v>
      </c>
      <c r="H4" s="2" t="s">
        <v>17</v>
      </c>
      <c r="I4" s="2" t="s">
        <v>142</v>
      </c>
      <c r="J4" s="5" t="s">
        <v>145</v>
      </c>
      <c r="K4" s="5" t="str">
        <f>HLOOKUP($J4,LOCATION!$A$2:$M$3,2,0)</f>
        <v>BRAZIL</v>
      </c>
      <c r="L4" s="5" t="str">
        <f>INDEX(LOCATION!$A$1:$M$1,1,MATCH($J4,LOCATION!$A$2:$M$2,0))</f>
        <v>Portuguese</v>
      </c>
      <c r="M4" s="5" t="str">
        <f t="shared" si="1"/>
        <v>Filho.Tomas@xyz.com</v>
      </c>
      <c r="N4" s="4">
        <v>52.9</v>
      </c>
      <c r="O4" s="2" t="s">
        <v>213</v>
      </c>
      <c r="P4" s="2" t="s">
        <v>210</v>
      </c>
      <c r="Q4" s="3" t="str">
        <f>_xlfn.XLOOKUP($R4,SPORT!$B$1:$B$33,SPORT!$A$1:$A$33)</f>
        <v>OUTDOOR</v>
      </c>
      <c r="R4" s="2" t="s">
        <v>177</v>
      </c>
      <c r="S4" s="2">
        <v>64724</v>
      </c>
      <c r="T4" t="str">
        <f t="shared" si="2"/>
        <v>SR. TOMAS FILHO</v>
      </c>
      <c r="U4" s="37">
        <v>3</v>
      </c>
      <c r="V4" s="35">
        <v>25394</v>
      </c>
      <c r="W4" s="36">
        <v>52.9</v>
      </c>
      <c r="X4" s="38">
        <v>64724</v>
      </c>
    </row>
    <row r="5" spans="1:24" x14ac:dyDescent="0.25">
      <c r="A5" s="2">
        <v>4</v>
      </c>
      <c r="B5" s="3" t="str">
        <f t="shared" si="0"/>
        <v>MS. DARBY CRUICKSHANK</v>
      </c>
      <c r="C5" s="2" t="s">
        <v>6</v>
      </c>
      <c r="D5" s="2" t="s">
        <v>18</v>
      </c>
      <c r="E5" s="2"/>
      <c r="F5" s="2" t="s">
        <v>19</v>
      </c>
      <c r="G5" s="25">
        <v>27532</v>
      </c>
      <c r="H5" s="2" t="s">
        <v>20</v>
      </c>
      <c r="I5" s="2" t="s">
        <v>138</v>
      </c>
      <c r="J5" s="5" t="s">
        <v>141</v>
      </c>
      <c r="K5" s="5" t="str">
        <f>HLOOKUP($J5,LOCATION!$A$2:$M$3,2,0)</f>
        <v>USA</v>
      </c>
      <c r="L5" s="5" t="str">
        <f>INDEX(LOCATION!$A$1:$M$1,1,MATCH($J5,LOCATION!$A$2:$M$2,0))</f>
        <v>English</v>
      </c>
      <c r="M5" s="5" t="str">
        <f t="shared" si="1"/>
        <v>Cruickshank.Darby@xyzorg</v>
      </c>
      <c r="N5" s="4">
        <v>48.9</v>
      </c>
      <c r="O5" s="2" t="s">
        <v>209</v>
      </c>
      <c r="P5" s="2" t="s">
        <v>212</v>
      </c>
      <c r="Q5" s="3" t="str">
        <f>_xlfn.XLOOKUP($R5,SPORT!$B$1:$B$33,SPORT!$A$1:$A$33)</f>
        <v>OUTDOOR</v>
      </c>
      <c r="R5" s="2" t="s">
        <v>178</v>
      </c>
      <c r="S5" s="2">
        <v>110823</v>
      </c>
      <c r="T5" t="str">
        <f t="shared" si="2"/>
        <v>MS. DARBY CRUICKSHANK</v>
      </c>
      <c r="U5" s="37">
        <v>4</v>
      </c>
      <c r="V5" s="35">
        <v>27532</v>
      </c>
      <c r="W5" s="36">
        <v>48.9</v>
      </c>
      <c r="X5" s="38">
        <v>110823</v>
      </c>
    </row>
    <row r="6" spans="1:24" x14ac:dyDescent="0.25">
      <c r="A6" s="2">
        <v>5</v>
      </c>
      <c r="B6" s="3" t="str">
        <f t="shared" si="0"/>
        <v>DR. JAYDON BORER</v>
      </c>
      <c r="C6" s="2" t="s">
        <v>21</v>
      </c>
      <c r="D6" s="2" t="s">
        <v>22</v>
      </c>
      <c r="E6" s="2"/>
      <c r="F6" s="2" t="s">
        <v>23</v>
      </c>
      <c r="G6" s="25">
        <v>25706</v>
      </c>
      <c r="H6" s="2" t="s">
        <v>20</v>
      </c>
      <c r="I6" s="2" t="s">
        <v>142</v>
      </c>
      <c r="J6" s="5" t="s">
        <v>141</v>
      </c>
      <c r="K6" s="5" t="str">
        <f>HLOOKUP($J6,LOCATION!$A$2:$M$3,2,0)</f>
        <v>USA</v>
      </c>
      <c r="L6" s="5" t="str">
        <f>INDEX(LOCATION!$A$1:$M$1,1,MATCH($J6,LOCATION!$A$2:$M$2,0))</f>
        <v>English</v>
      </c>
      <c r="M6" s="5" t="str">
        <f t="shared" si="1"/>
        <v>Borer.Jaydon@xyzorg</v>
      </c>
      <c r="N6" s="4">
        <v>84.8</v>
      </c>
      <c r="O6" s="2" t="s">
        <v>214</v>
      </c>
      <c r="P6" s="2" t="s">
        <v>215</v>
      </c>
      <c r="Q6" s="3" t="str">
        <f>_xlfn.XLOOKUP($R6,SPORT!$B$1:$B$33,SPORT!$A$1:$A$33)</f>
        <v>INDOOR</v>
      </c>
      <c r="R6" s="2" t="s">
        <v>179</v>
      </c>
      <c r="S6" s="2">
        <v>56916</v>
      </c>
      <c r="T6" t="str">
        <f t="shared" si="2"/>
        <v>DR. JAYDON BORER</v>
      </c>
      <c r="U6" s="37">
        <v>5</v>
      </c>
      <c r="V6" s="35">
        <v>25706</v>
      </c>
      <c r="W6" s="36">
        <v>84.8</v>
      </c>
      <c r="X6" s="38">
        <v>56916</v>
      </c>
    </row>
    <row r="7" spans="1:24" x14ac:dyDescent="0.25">
      <c r="A7" s="2">
        <v>6</v>
      </c>
      <c r="B7" s="3" t="str">
        <f t="shared" si="0"/>
        <v>MR. MORIAH  LYNCH</v>
      </c>
      <c r="C7" s="2" t="s">
        <v>24</v>
      </c>
      <c r="D7" s="2" t="s">
        <v>25</v>
      </c>
      <c r="E7" s="2"/>
      <c r="F7" s="2" t="s">
        <v>26</v>
      </c>
      <c r="G7" s="25">
        <v>33944</v>
      </c>
      <c r="H7" s="2" t="s">
        <v>27</v>
      </c>
      <c r="I7" s="2" t="s">
        <v>142</v>
      </c>
      <c r="J7" s="5" t="s">
        <v>141</v>
      </c>
      <c r="K7" s="5" t="str">
        <f>HLOOKUP($J7,LOCATION!$A$2:$M$3,2,0)</f>
        <v>USA</v>
      </c>
      <c r="L7" s="5" t="str">
        <f>INDEX(LOCATION!$A$1:$M$1,1,MATCH($J7,LOCATION!$A$2:$M$2,0))</f>
        <v>English</v>
      </c>
      <c r="M7" s="5" t="str">
        <f t="shared" si="1"/>
        <v>Lynch.Moriah @xyzorg</v>
      </c>
      <c r="N7" s="4">
        <v>83.2</v>
      </c>
      <c r="O7" s="2" t="s">
        <v>214</v>
      </c>
      <c r="P7" s="2" t="s">
        <v>212</v>
      </c>
      <c r="Q7" s="3" t="str">
        <f>_xlfn.XLOOKUP($R7,SPORT!$B$1:$B$33,SPORT!$A$1:$A$33)</f>
        <v>INDOOR</v>
      </c>
      <c r="R7" s="2" t="s">
        <v>180</v>
      </c>
      <c r="S7" s="2">
        <v>51133</v>
      </c>
      <c r="T7" t="str">
        <f t="shared" si="2"/>
        <v>MR. MORIAH  LYNCH</v>
      </c>
      <c r="U7" s="37">
        <v>6</v>
      </c>
      <c r="V7" s="35">
        <v>33944</v>
      </c>
      <c r="W7" s="36">
        <v>83.2</v>
      </c>
      <c r="X7" s="38">
        <v>51133</v>
      </c>
    </row>
    <row r="8" spans="1:24" x14ac:dyDescent="0.25">
      <c r="A8" s="2">
        <v>7</v>
      </c>
      <c r="B8" s="3" t="str">
        <f t="shared" si="0"/>
        <v>MS. AMIYA EICHMANN</v>
      </c>
      <c r="C8" s="2" t="s">
        <v>6</v>
      </c>
      <c r="D8" s="2" t="s">
        <v>28</v>
      </c>
      <c r="E8" s="2"/>
      <c r="F8" s="2" t="s">
        <v>29</v>
      </c>
      <c r="G8" s="25">
        <v>36370</v>
      </c>
      <c r="H8" s="2" t="s">
        <v>30</v>
      </c>
      <c r="I8" s="2" t="s">
        <v>138</v>
      </c>
      <c r="J8" s="5" t="s">
        <v>141</v>
      </c>
      <c r="K8" s="5" t="str">
        <f>HLOOKUP($J8,LOCATION!$A$2:$M$3,2,0)</f>
        <v>USA</v>
      </c>
      <c r="L8" s="5" t="str">
        <f>INDEX(LOCATION!$A$1:$M$1,1,MATCH($J8,LOCATION!$A$2:$M$2,0))</f>
        <v>English</v>
      </c>
      <c r="M8" s="5" t="str">
        <f t="shared" si="1"/>
        <v>Eichmann.Amiya@xyzorg</v>
      </c>
      <c r="N8" s="4">
        <v>61.1</v>
      </c>
      <c r="O8" s="2" t="s">
        <v>214</v>
      </c>
      <c r="P8" s="2" t="s">
        <v>215</v>
      </c>
      <c r="Q8" s="3" t="str">
        <f>_xlfn.XLOOKUP($R8,SPORT!$B$1:$B$33,SPORT!$A$1:$A$33)</f>
        <v>OUTDOOR</v>
      </c>
      <c r="R8" s="2" t="s">
        <v>181</v>
      </c>
      <c r="S8" s="2">
        <v>65465</v>
      </c>
      <c r="T8" t="str">
        <f t="shared" si="2"/>
        <v>MS. AMIYA EICHMANN</v>
      </c>
      <c r="U8" s="37">
        <v>7</v>
      </c>
      <c r="V8" s="35">
        <v>36370</v>
      </c>
      <c r="W8" s="36">
        <v>61.1</v>
      </c>
      <c r="X8" s="38">
        <v>65465</v>
      </c>
    </row>
    <row r="9" spans="1:24" x14ac:dyDescent="0.25">
      <c r="A9" s="2">
        <v>8</v>
      </c>
      <c r="B9" s="3" t="str">
        <f t="shared" si="0"/>
        <v>MR. PIERCE RAU</v>
      </c>
      <c r="C9" s="2" t="s">
        <v>24</v>
      </c>
      <c r="D9" s="2" t="s">
        <v>31</v>
      </c>
      <c r="E9" s="2"/>
      <c r="F9" s="2" t="s">
        <v>32</v>
      </c>
      <c r="G9" s="25">
        <v>23141</v>
      </c>
      <c r="H9" s="2" t="s">
        <v>20</v>
      </c>
      <c r="I9" s="2" t="s">
        <v>142</v>
      </c>
      <c r="J9" s="5" t="s">
        <v>141</v>
      </c>
      <c r="K9" s="5" t="str">
        <f>HLOOKUP($J9,LOCATION!$A$2:$M$3,2,0)</f>
        <v>USA</v>
      </c>
      <c r="L9" s="5" t="str">
        <f>INDEX(LOCATION!$A$1:$M$1,1,MATCH($J9,LOCATION!$A$2:$M$2,0))</f>
        <v>English</v>
      </c>
      <c r="M9" s="5" t="str">
        <f t="shared" si="1"/>
        <v>Rau.Pierce@xyzorg</v>
      </c>
      <c r="N9" s="4">
        <v>105.7</v>
      </c>
      <c r="O9" s="2" t="s">
        <v>213</v>
      </c>
      <c r="P9" s="2" t="s">
        <v>216</v>
      </c>
      <c r="Q9" s="3" t="str">
        <f>_xlfn.XLOOKUP($R9,SPORT!$B$1:$B$33,SPORT!$A$1:$A$33)</f>
        <v>INDOOR</v>
      </c>
      <c r="R9" s="2" t="s">
        <v>182</v>
      </c>
      <c r="S9" s="2">
        <v>109885</v>
      </c>
      <c r="T9" t="str">
        <f t="shared" si="2"/>
        <v>MR. PIERCE RAU</v>
      </c>
      <c r="U9" s="37">
        <v>8</v>
      </c>
      <c r="V9" s="35">
        <v>23141</v>
      </c>
      <c r="W9" s="36">
        <v>105.7</v>
      </c>
      <c r="X9" s="38">
        <v>109885</v>
      </c>
    </row>
    <row r="10" spans="1:24" x14ac:dyDescent="0.25">
      <c r="A10" s="2">
        <v>9</v>
      </c>
      <c r="B10" s="3" t="str">
        <f t="shared" si="0"/>
        <v>MS. AMELIA STEVENS</v>
      </c>
      <c r="C10" s="2" t="s">
        <v>6</v>
      </c>
      <c r="D10" s="2" t="s">
        <v>33</v>
      </c>
      <c r="E10" s="2"/>
      <c r="F10" s="2" t="s">
        <v>34</v>
      </c>
      <c r="G10" s="25">
        <v>25965</v>
      </c>
      <c r="H10" s="2" t="s">
        <v>12</v>
      </c>
      <c r="I10" s="2" t="s">
        <v>138</v>
      </c>
      <c r="J10" s="5" t="s">
        <v>147</v>
      </c>
      <c r="K10" s="5" t="str">
        <f>HLOOKUP($J10,LOCATION!$A$2:$M$3,2,0)</f>
        <v>UK</v>
      </c>
      <c r="L10" s="5" t="str">
        <f>INDEX(LOCATION!$A$1:$M$1,1,MATCH($J10,LOCATION!$A$2:$M$2,0))</f>
        <v>English</v>
      </c>
      <c r="M10" s="5" t="str">
        <f t="shared" si="1"/>
        <v>Stevens.Amelia@xyzorg</v>
      </c>
      <c r="N10" s="4">
        <v>65.3</v>
      </c>
      <c r="O10" s="2" t="s">
        <v>214</v>
      </c>
      <c r="P10" s="2" t="s">
        <v>216</v>
      </c>
      <c r="Q10" s="3" t="str">
        <f>_xlfn.XLOOKUP($R10,SPORT!$B$1:$B$33,SPORT!$A$1:$A$33)</f>
        <v>INDOOR</v>
      </c>
      <c r="R10" s="2" t="s">
        <v>183</v>
      </c>
      <c r="S10" s="2">
        <v>60061</v>
      </c>
      <c r="T10" t="str">
        <f t="shared" si="2"/>
        <v>MS. AMELIA STEVENS</v>
      </c>
      <c r="U10" s="37">
        <v>9</v>
      </c>
      <c r="V10" s="35">
        <v>25965</v>
      </c>
      <c r="W10" s="36">
        <v>65.3</v>
      </c>
      <c r="X10" s="38">
        <v>60061</v>
      </c>
    </row>
    <row r="11" spans="1:24" x14ac:dyDescent="0.25">
      <c r="A11" s="2">
        <v>10</v>
      </c>
      <c r="B11" s="3" t="str">
        <f t="shared" si="0"/>
        <v>MR. TOBY SIMPSON</v>
      </c>
      <c r="C11" s="2" t="s">
        <v>24</v>
      </c>
      <c r="D11" s="2" t="s">
        <v>35</v>
      </c>
      <c r="E11" s="2"/>
      <c r="F11" s="2" t="s">
        <v>36</v>
      </c>
      <c r="G11" s="25">
        <v>23732</v>
      </c>
      <c r="H11" s="2" t="s">
        <v>27</v>
      </c>
      <c r="I11" s="2" t="s">
        <v>142</v>
      </c>
      <c r="J11" s="5" t="s">
        <v>147</v>
      </c>
      <c r="K11" s="5" t="str">
        <f>HLOOKUP($J11,LOCATION!$A$2:$M$3,2,0)</f>
        <v>UK</v>
      </c>
      <c r="L11" s="5" t="str">
        <f>INDEX(LOCATION!$A$1:$M$1,1,MATCH($J11,LOCATION!$A$2:$M$2,0))</f>
        <v>English</v>
      </c>
      <c r="M11" s="5" t="str">
        <f t="shared" si="1"/>
        <v>Simpson.Toby@xyzorg</v>
      </c>
      <c r="N11" s="4">
        <v>62.9</v>
      </c>
      <c r="O11" s="2" t="s">
        <v>213</v>
      </c>
      <c r="P11" s="2" t="s">
        <v>217</v>
      </c>
      <c r="Q11" s="3" t="str">
        <f>_xlfn.XLOOKUP($R11,SPORT!$B$1:$B$33,SPORT!$A$1:$A$33)</f>
        <v>OUTDOOR</v>
      </c>
      <c r="R11" s="2" t="s">
        <v>181</v>
      </c>
      <c r="S11" s="2">
        <v>32758</v>
      </c>
      <c r="T11" t="str">
        <f t="shared" si="2"/>
        <v>MR. TOBY SIMPSON</v>
      </c>
      <c r="U11" s="37">
        <v>10</v>
      </c>
      <c r="V11" s="35">
        <v>23732</v>
      </c>
      <c r="W11" s="36">
        <v>62.9</v>
      </c>
      <c r="X11" s="38">
        <v>32758</v>
      </c>
    </row>
    <row r="12" spans="1:24" x14ac:dyDescent="0.25">
      <c r="A12" s="2">
        <v>11</v>
      </c>
      <c r="B12" s="3" t="str">
        <f t="shared" si="0"/>
        <v>SIR ETHAN MURPHY</v>
      </c>
      <c r="C12" s="2" t="s">
        <v>37</v>
      </c>
      <c r="D12" s="2" t="s">
        <v>38</v>
      </c>
      <c r="E12" s="2"/>
      <c r="F12" s="2" t="s">
        <v>39</v>
      </c>
      <c r="G12" s="25">
        <v>31733</v>
      </c>
      <c r="H12" s="2" t="s">
        <v>40</v>
      </c>
      <c r="I12" s="2" t="s">
        <v>142</v>
      </c>
      <c r="J12" s="5" t="s">
        <v>147</v>
      </c>
      <c r="K12" s="5" t="str">
        <f>HLOOKUP($J12,LOCATION!$A$2:$M$3,2,0)</f>
        <v>UK</v>
      </c>
      <c r="L12" s="5" t="str">
        <f>INDEX(LOCATION!$A$1:$M$1,1,MATCH($J12,LOCATION!$A$2:$M$2,0))</f>
        <v>English</v>
      </c>
      <c r="M12" s="5" t="str">
        <f t="shared" si="1"/>
        <v>Murphy.Ethan@xyzorg</v>
      </c>
      <c r="N12" s="4">
        <v>104.3</v>
      </c>
      <c r="O12" s="2" t="s">
        <v>211</v>
      </c>
      <c r="P12" s="2" t="s">
        <v>217</v>
      </c>
      <c r="Q12" s="3" t="str">
        <f>_xlfn.XLOOKUP($R12,SPORT!$B$1:$B$33,SPORT!$A$1:$A$33)</f>
        <v>OUTDOOR</v>
      </c>
      <c r="R12" s="2" t="s">
        <v>184</v>
      </c>
      <c r="S12" s="2">
        <v>99613</v>
      </c>
      <c r="T12" t="str">
        <f t="shared" si="2"/>
        <v>SIR ETHAN MURPHY</v>
      </c>
      <c r="U12" s="37">
        <v>11</v>
      </c>
      <c r="V12" s="35">
        <v>31733</v>
      </c>
      <c r="W12" s="36">
        <v>104.3</v>
      </c>
      <c r="X12" s="38">
        <v>99613</v>
      </c>
    </row>
    <row r="13" spans="1:24" x14ac:dyDescent="0.25">
      <c r="A13" s="2">
        <v>12</v>
      </c>
      <c r="B13" s="3" t="str">
        <f t="shared" si="0"/>
        <v>MRS. ASHLEY WOOD</v>
      </c>
      <c r="C13" s="2" t="s">
        <v>41</v>
      </c>
      <c r="D13" s="2" t="s">
        <v>42</v>
      </c>
      <c r="E13" s="2"/>
      <c r="F13" s="2" t="s">
        <v>43</v>
      </c>
      <c r="G13" s="25">
        <v>28412</v>
      </c>
      <c r="H13" s="2" t="s">
        <v>9</v>
      </c>
      <c r="I13" s="2" t="s">
        <v>138</v>
      </c>
      <c r="J13" s="5" t="s">
        <v>147</v>
      </c>
      <c r="K13" s="5" t="str">
        <f>HLOOKUP($J13,LOCATION!$A$2:$M$3,2,0)</f>
        <v>UK</v>
      </c>
      <c r="L13" s="5" t="str">
        <f>INDEX(LOCATION!$A$1:$M$1,1,MATCH($J13,LOCATION!$A$2:$M$2,0))</f>
        <v>English</v>
      </c>
      <c r="M13" s="5" t="str">
        <f t="shared" si="1"/>
        <v>Wood.Ashley@xyzorg</v>
      </c>
      <c r="N13" s="4">
        <v>100.7</v>
      </c>
      <c r="O13" s="2" t="s">
        <v>211</v>
      </c>
      <c r="P13" s="2" t="s">
        <v>217</v>
      </c>
      <c r="Q13" s="3" t="str">
        <f>_xlfn.XLOOKUP($R13,SPORT!$B$1:$B$33,SPORT!$A$1:$A$33)</f>
        <v>OUTDOOR</v>
      </c>
      <c r="R13" s="2" t="s">
        <v>185</v>
      </c>
      <c r="S13" s="2">
        <v>56595</v>
      </c>
      <c r="T13" t="str">
        <f t="shared" si="2"/>
        <v>MRS. ASHLEY WOOD</v>
      </c>
      <c r="U13" s="37">
        <v>12</v>
      </c>
      <c r="V13" s="35">
        <v>28412</v>
      </c>
      <c r="W13" s="36">
        <v>100.7</v>
      </c>
      <c r="X13" s="38">
        <v>56595</v>
      </c>
    </row>
    <row r="14" spans="1:24" x14ac:dyDescent="0.25">
      <c r="A14" s="2">
        <v>13</v>
      </c>
      <c r="B14" s="3" t="str">
        <f t="shared" si="0"/>
        <v>MS. MEGAN SCOTT</v>
      </c>
      <c r="C14" s="2" t="s">
        <v>6</v>
      </c>
      <c r="D14" s="2" t="s">
        <v>44</v>
      </c>
      <c r="E14" s="2"/>
      <c r="F14" s="2" t="s">
        <v>45</v>
      </c>
      <c r="G14" s="25">
        <v>28168</v>
      </c>
      <c r="H14" s="2" t="s">
        <v>12</v>
      </c>
      <c r="I14" s="2" t="s">
        <v>138</v>
      </c>
      <c r="J14" s="5" t="s">
        <v>147</v>
      </c>
      <c r="K14" s="5" t="str">
        <f>HLOOKUP($J14,LOCATION!$A$2:$M$3,2,0)</f>
        <v>UK</v>
      </c>
      <c r="L14" s="5" t="str">
        <f>INDEX(LOCATION!$A$1:$M$1,1,MATCH($J14,LOCATION!$A$2:$M$2,0))</f>
        <v>English</v>
      </c>
      <c r="M14" s="5" t="str">
        <f t="shared" si="1"/>
        <v>Scott.Megan@xyzorg</v>
      </c>
      <c r="N14" s="4">
        <v>70.900000000000006</v>
      </c>
      <c r="O14" s="2" t="s">
        <v>209</v>
      </c>
      <c r="P14" s="2" t="s">
        <v>210</v>
      </c>
      <c r="Q14" s="3" t="str">
        <f>_xlfn.XLOOKUP($R14,SPORT!$B$1:$B$33,SPORT!$A$1:$A$33)</f>
        <v>OUTDOOR</v>
      </c>
      <c r="R14" s="2" t="s">
        <v>186</v>
      </c>
      <c r="S14" s="2">
        <v>117408</v>
      </c>
      <c r="T14" t="str">
        <f t="shared" si="2"/>
        <v>MS. MEGAN SCOTT</v>
      </c>
      <c r="U14" s="37">
        <v>13</v>
      </c>
      <c r="V14" s="35">
        <v>28168</v>
      </c>
      <c r="W14" s="36">
        <v>70.900000000000006</v>
      </c>
      <c r="X14" s="38">
        <v>117408</v>
      </c>
    </row>
    <row r="15" spans="1:24" x14ac:dyDescent="0.25">
      <c r="A15" s="2">
        <v>14</v>
      </c>
      <c r="B15" s="3" t="str">
        <f t="shared" si="0"/>
        <v>HR. HELMUT WEINHAE</v>
      </c>
      <c r="C15" s="2" t="s">
        <v>46</v>
      </c>
      <c r="D15" s="2" t="s">
        <v>47</v>
      </c>
      <c r="E15" s="2"/>
      <c r="F15" s="2" t="s">
        <v>48</v>
      </c>
      <c r="G15" s="25">
        <v>21788</v>
      </c>
      <c r="H15" s="2" t="s">
        <v>49</v>
      </c>
      <c r="I15" s="2" t="s">
        <v>142</v>
      </c>
      <c r="J15" s="5" t="s">
        <v>150</v>
      </c>
      <c r="K15" s="5" t="str">
        <f>HLOOKUP($J15,LOCATION!$A$2:$M$3,2,0)</f>
        <v>GERMANY</v>
      </c>
      <c r="L15" s="5" t="str">
        <f>INDEX(LOCATION!$A$1:$M$1,1,MATCH($J15,LOCATION!$A$2:$M$2,0))</f>
        <v>German</v>
      </c>
      <c r="M15" s="5" t="str">
        <f t="shared" si="1"/>
        <v>Weinhae.Helmut@xyz.com</v>
      </c>
      <c r="N15" s="4">
        <v>68.3</v>
      </c>
      <c r="O15" s="2" t="s">
        <v>218</v>
      </c>
      <c r="P15" s="2" t="s">
        <v>216</v>
      </c>
      <c r="Q15" s="3" t="str">
        <f>_xlfn.XLOOKUP($R15,SPORT!$B$1:$B$33,SPORT!$A$1:$A$33)</f>
        <v>OUTDOOR</v>
      </c>
      <c r="R15" s="2" t="s">
        <v>187</v>
      </c>
      <c r="S15" s="2">
        <v>64862</v>
      </c>
      <c r="T15" t="str">
        <f t="shared" si="2"/>
        <v>HR. HELMUT WEINHAE</v>
      </c>
      <c r="U15" s="37">
        <v>14</v>
      </c>
      <c r="V15" s="35">
        <v>21788</v>
      </c>
      <c r="W15" s="36">
        <v>68.3</v>
      </c>
      <c r="X15" s="38">
        <v>64862</v>
      </c>
    </row>
    <row r="16" spans="1:24" x14ac:dyDescent="0.25">
      <c r="A16" s="2">
        <v>15</v>
      </c>
      <c r="B16" s="3" t="str">
        <f t="shared" si="0"/>
        <v>PROF. MILENA SCHOTIN</v>
      </c>
      <c r="C16" s="2" t="s">
        <v>50</v>
      </c>
      <c r="D16" s="2" t="s">
        <v>51</v>
      </c>
      <c r="E16" s="2"/>
      <c r="F16" s="2" t="s">
        <v>52</v>
      </c>
      <c r="G16" s="25">
        <v>23804</v>
      </c>
      <c r="H16" s="2" t="s">
        <v>53</v>
      </c>
      <c r="I16" s="2" t="s">
        <v>138</v>
      </c>
      <c r="J16" s="5" t="s">
        <v>150</v>
      </c>
      <c r="K16" s="5" t="str">
        <f>HLOOKUP($J16,LOCATION!$A$2:$M$3,2,0)</f>
        <v>GERMANY</v>
      </c>
      <c r="L16" s="5" t="str">
        <f>INDEX(LOCATION!$A$1:$M$1,1,MATCH($J16,LOCATION!$A$2:$M$2,0))</f>
        <v>German</v>
      </c>
      <c r="M16" s="5" t="str">
        <f t="shared" si="1"/>
        <v>Schotin.Milena@xyz.com</v>
      </c>
      <c r="N16" s="4">
        <v>105.3</v>
      </c>
      <c r="O16" s="2" t="s">
        <v>218</v>
      </c>
      <c r="P16" s="2" t="s">
        <v>217</v>
      </c>
      <c r="Q16" s="3" t="str">
        <f>_xlfn.XLOOKUP($R16,SPORT!$B$1:$B$33,SPORT!$A$1:$A$33)</f>
        <v>INDOOR</v>
      </c>
      <c r="R16" s="2" t="s">
        <v>188</v>
      </c>
      <c r="S16" s="2">
        <v>10241</v>
      </c>
      <c r="T16" t="str">
        <f t="shared" si="2"/>
        <v>PROF. MILENA SCHOTIN</v>
      </c>
      <c r="U16" s="37">
        <v>15</v>
      </c>
      <c r="V16" s="35">
        <v>23804</v>
      </c>
      <c r="W16" s="36">
        <v>105.3</v>
      </c>
      <c r="X16" s="38">
        <v>10241</v>
      </c>
    </row>
    <row r="17" spans="1:24" x14ac:dyDescent="0.25">
      <c r="A17" s="2">
        <v>16</v>
      </c>
      <c r="B17" s="3" t="str">
        <f t="shared" si="0"/>
        <v>HR. LOTHAR BIRNBAUM</v>
      </c>
      <c r="C17" s="2" t="s">
        <v>46</v>
      </c>
      <c r="D17" s="2" t="s">
        <v>54</v>
      </c>
      <c r="E17" s="2"/>
      <c r="F17" s="2" t="s">
        <v>55</v>
      </c>
      <c r="G17" s="25">
        <v>25405</v>
      </c>
      <c r="H17" s="2" t="s">
        <v>17</v>
      </c>
      <c r="I17" s="2" t="s">
        <v>142</v>
      </c>
      <c r="J17" s="5" t="s">
        <v>150</v>
      </c>
      <c r="K17" s="5" t="str">
        <f>HLOOKUP($J17,LOCATION!$A$2:$M$3,2,0)</f>
        <v>GERMANY</v>
      </c>
      <c r="L17" s="5" t="str">
        <f>INDEX(LOCATION!$A$1:$M$1,1,MATCH($J17,LOCATION!$A$2:$M$2,0))</f>
        <v>German</v>
      </c>
      <c r="M17" s="5" t="str">
        <f t="shared" si="1"/>
        <v>Birnbaum.Lothar@xyz.com</v>
      </c>
      <c r="N17" s="4">
        <v>48.6</v>
      </c>
      <c r="O17" s="2" t="s">
        <v>214</v>
      </c>
      <c r="P17" s="2" t="s">
        <v>217</v>
      </c>
      <c r="Q17" s="3" t="str">
        <f>_xlfn.XLOOKUP($R17,SPORT!$B$1:$B$33,SPORT!$A$1:$A$33)</f>
        <v>OUTDOOR</v>
      </c>
      <c r="R17" s="2" t="s">
        <v>178</v>
      </c>
      <c r="S17" s="2">
        <v>88762</v>
      </c>
      <c r="T17" t="str">
        <f t="shared" si="2"/>
        <v>HR. LOTHAR BIRNBAUM</v>
      </c>
      <c r="U17" s="37">
        <v>16</v>
      </c>
      <c r="V17" s="35">
        <v>25405</v>
      </c>
      <c r="W17" s="36">
        <v>48.6</v>
      </c>
      <c r="X17" s="38">
        <v>88762</v>
      </c>
    </row>
    <row r="18" spans="1:24" x14ac:dyDescent="0.25">
      <c r="A18" s="2">
        <v>17</v>
      </c>
      <c r="B18" s="3" t="str">
        <f t="shared" si="0"/>
        <v>HR. PIETRO STOLZE</v>
      </c>
      <c r="C18" s="2" t="s">
        <v>46</v>
      </c>
      <c r="D18" s="2" t="s">
        <v>56</v>
      </c>
      <c r="E18" s="2"/>
      <c r="F18" s="2" t="s">
        <v>57</v>
      </c>
      <c r="G18" s="25">
        <v>26582</v>
      </c>
      <c r="H18" s="2" t="s">
        <v>9</v>
      </c>
      <c r="I18" s="2" t="s">
        <v>142</v>
      </c>
      <c r="J18" s="5" t="s">
        <v>150</v>
      </c>
      <c r="K18" s="5" t="str">
        <f>HLOOKUP($J18,LOCATION!$A$2:$M$3,2,0)</f>
        <v>GERMANY</v>
      </c>
      <c r="L18" s="5" t="str">
        <f>INDEX(LOCATION!$A$1:$M$1,1,MATCH($J18,LOCATION!$A$2:$M$2,0))</f>
        <v>German</v>
      </c>
      <c r="M18" s="5" t="str">
        <f t="shared" si="1"/>
        <v>Stolze.Pietro@xyz.com</v>
      </c>
      <c r="N18" s="4">
        <v>105.9</v>
      </c>
      <c r="O18" s="2" t="s">
        <v>214</v>
      </c>
      <c r="P18" s="2" t="s">
        <v>210</v>
      </c>
      <c r="Q18" s="3" t="str">
        <f>_xlfn.XLOOKUP($R18,SPORT!$B$1:$B$33,SPORT!$A$1:$A$33)</f>
        <v>INDOOR</v>
      </c>
      <c r="R18" s="2" t="s">
        <v>189</v>
      </c>
      <c r="S18" s="2">
        <v>80757</v>
      </c>
      <c r="T18" t="str">
        <f t="shared" si="2"/>
        <v>HR. PIETRO STOLZE</v>
      </c>
      <c r="U18" s="37">
        <v>17</v>
      </c>
      <c r="V18" s="35">
        <v>26582</v>
      </c>
      <c r="W18" s="36">
        <v>105.9</v>
      </c>
      <c r="X18" s="38">
        <v>80757</v>
      </c>
    </row>
    <row r="19" spans="1:24" x14ac:dyDescent="0.25">
      <c r="A19" s="2">
        <v>18</v>
      </c>
      <c r="B19" s="3" t="str">
        <f t="shared" si="0"/>
        <v>HR. RICHARD  TLUSTEK</v>
      </c>
      <c r="C19" s="2" t="s">
        <v>46</v>
      </c>
      <c r="D19" s="2" t="s">
        <v>58</v>
      </c>
      <c r="E19" s="2"/>
      <c r="F19" s="2" t="s">
        <v>59</v>
      </c>
      <c r="G19" s="25">
        <v>21793</v>
      </c>
      <c r="H19" s="2" t="s">
        <v>49</v>
      </c>
      <c r="I19" s="2" t="s">
        <v>142</v>
      </c>
      <c r="J19" s="5" t="s">
        <v>150</v>
      </c>
      <c r="K19" s="5" t="str">
        <f>HLOOKUP($J19,LOCATION!$A$2:$M$3,2,0)</f>
        <v>GERMANY</v>
      </c>
      <c r="L19" s="5" t="str">
        <f>INDEX(LOCATION!$A$1:$M$1,1,MATCH($J19,LOCATION!$A$2:$M$2,0))</f>
        <v>German</v>
      </c>
      <c r="M19" s="5" t="str">
        <f t="shared" si="1"/>
        <v>Tlustek.Richard @xyz.com</v>
      </c>
      <c r="N19" s="4">
        <v>71.099999999999994</v>
      </c>
      <c r="O19" s="2" t="s">
        <v>214</v>
      </c>
      <c r="P19" s="2" t="s">
        <v>210</v>
      </c>
      <c r="Q19" s="3" t="str">
        <f>_xlfn.XLOOKUP($R19,SPORT!$B$1:$B$33,SPORT!$A$1:$A$33)</f>
        <v>OUTDOOR</v>
      </c>
      <c r="R19" s="2" t="s">
        <v>190</v>
      </c>
      <c r="S19" s="2">
        <v>88794</v>
      </c>
      <c r="T19" t="str">
        <f t="shared" si="2"/>
        <v>HR. RICHARD  TLUSTEK</v>
      </c>
      <c r="U19" s="37">
        <v>18</v>
      </c>
      <c r="V19" s="35">
        <v>21793</v>
      </c>
      <c r="W19" s="36">
        <v>71.099999999999994</v>
      </c>
      <c r="X19" s="38">
        <v>88794</v>
      </c>
    </row>
    <row r="20" spans="1:24" x14ac:dyDescent="0.25">
      <c r="A20" s="2">
        <v>19</v>
      </c>
      <c r="B20" s="3" t="str">
        <f t="shared" si="0"/>
        <v>DR. EARNESTINE RAYNOR</v>
      </c>
      <c r="C20" s="2" t="s">
        <v>21</v>
      </c>
      <c r="D20" s="2" t="s">
        <v>60</v>
      </c>
      <c r="E20" s="2"/>
      <c r="F20" s="2" t="s">
        <v>61</v>
      </c>
      <c r="G20" s="25">
        <v>28262</v>
      </c>
      <c r="H20" s="2" t="s">
        <v>20</v>
      </c>
      <c r="I20" s="2" t="s">
        <v>138</v>
      </c>
      <c r="J20" s="5" t="s">
        <v>152</v>
      </c>
      <c r="K20" s="5" t="str">
        <f>HLOOKUP($J20,LOCATION!$A$2:$M$3,2,0)</f>
        <v>AUSTRALIA</v>
      </c>
      <c r="L20" s="5" t="str">
        <f>INDEX(LOCATION!$A$1:$M$1,1,MATCH($J20,LOCATION!$A$2:$M$2,0))</f>
        <v>English</v>
      </c>
      <c r="M20" s="5" t="str">
        <f t="shared" si="1"/>
        <v>Raynor.Earnestine@xyzorg</v>
      </c>
      <c r="N20" s="4">
        <v>70.3</v>
      </c>
      <c r="O20" s="2" t="s">
        <v>214</v>
      </c>
      <c r="P20" s="2" t="s">
        <v>216</v>
      </c>
      <c r="Q20" s="3" t="str">
        <f>_xlfn.XLOOKUP($R20,SPORT!$B$1:$B$33,SPORT!$A$1:$A$33)</f>
        <v>INDOOR</v>
      </c>
      <c r="R20" s="2" t="s">
        <v>191</v>
      </c>
      <c r="S20" s="2">
        <v>63526</v>
      </c>
      <c r="T20" t="str">
        <f t="shared" si="2"/>
        <v>DR. EARNESTINE RAYNOR</v>
      </c>
      <c r="U20" s="37">
        <v>19</v>
      </c>
      <c r="V20" s="35">
        <v>28262</v>
      </c>
      <c r="W20" s="36">
        <v>70.3</v>
      </c>
      <c r="X20" s="38">
        <v>63526</v>
      </c>
    </row>
    <row r="21" spans="1:24" x14ac:dyDescent="0.25">
      <c r="A21" s="2">
        <v>20</v>
      </c>
      <c r="B21" s="3" t="str">
        <f t="shared" si="0"/>
        <v>MR. JASON GAYLORD</v>
      </c>
      <c r="C21" s="2" t="s">
        <v>24</v>
      </c>
      <c r="D21" s="2" t="s">
        <v>62</v>
      </c>
      <c r="E21" s="2"/>
      <c r="F21" s="2" t="s">
        <v>63</v>
      </c>
      <c r="G21" s="25">
        <v>27767</v>
      </c>
      <c r="H21" s="2" t="s">
        <v>64</v>
      </c>
      <c r="I21" s="2" t="s">
        <v>142</v>
      </c>
      <c r="J21" s="5" t="s">
        <v>152</v>
      </c>
      <c r="K21" s="5" t="str">
        <f>HLOOKUP($J21,LOCATION!$A$2:$M$3,2,0)</f>
        <v>AUSTRALIA</v>
      </c>
      <c r="L21" s="5" t="str">
        <f>INDEX(LOCATION!$A$1:$M$1,1,MATCH($J21,LOCATION!$A$2:$M$2,0))</f>
        <v>English</v>
      </c>
      <c r="M21" s="5" t="str">
        <f t="shared" si="1"/>
        <v>Gaylord.Jason@xyzorg</v>
      </c>
      <c r="N21" s="4">
        <v>54.7</v>
      </c>
      <c r="O21" s="2" t="s">
        <v>211</v>
      </c>
      <c r="P21" s="2" t="s">
        <v>212</v>
      </c>
      <c r="Q21" s="3" t="str">
        <f>_xlfn.XLOOKUP($R21,SPORT!$B$1:$B$33,SPORT!$A$1:$A$33)</f>
        <v>INDOOR</v>
      </c>
      <c r="R21" s="2" t="s">
        <v>192</v>
      </c>
      <c r="S21" s="2">
        <v>46352</v>
      </c>
      <c r="T21" t="str">
        <f t="shared" si="2"/>
        <v>MR. JASON GAYLORD</v>
      </c>
      <c r="U21" s="37">
        <v>20</v>
      </c>
      <c r="V21" s="35">
        <v>27767</v>
      </c>
      <c r="W21" s="36">
        <v>54.7</v>
      </c>
      <c r="X21" s="38">
        <v>46352</v>
      </c>
    </row>
    <row r="22" spans="1:24" x14ac:dyDescent="0.25">
      <c r="A22" s="2">
        <v>21</v>
      </c>
      <c r="B22" s="3" t="str">
        <f t="shared" si="0"/>
        <v>MR. KENDRICK SAUER</v>
      </c>
      <c r="C22" s="2" t="s">
        <v>24</v>
      </c>
      <c r="D22" s="2" t="s">
        <v>65</v>
      </c>
      <c r="E22" s="2"/>
      <c r="F22" s="2" t="s">
        <v>66</v>
      </c>
      <c r="G22" s="25">
        <v>35268</v>
      </c>
      <c r="H22" s="2" t="s">
        <v>17</v>
      </c>
      <c r="I22" s="2" t="s">
        <v>142</v>
      </c>
      <c r="J22" s="5" t="s">
        <v>152</v>
      </c>
      <c r="K22" s="5" t="str">
        <f>HLOOKUP($J22,LOCATION!$A$2:$M$3,2,0)</f>
        <v>AUSTRALIA</v>
      </c>
      <c r="L22" s="5" t="str">
        <f>INDEX(LOCATION!$A$1:$M$1,1,MATCH($J22,LOCATION!$A$2:$M$2,0))</f>
        <v>English</v>
      </c>
      <c r="M22" s="5" t="str">
        <f t="shared" si="1"/>
        <v>Sauer.Kendrick@xyzorg</v>
      </c>
      <c r="N22" s="4">
        <v>100.9</v>
      </c>
      <c r="O22" s="2" t="s">
        <v>214</v>
      </c>
      <c r="P22" s="2" t="s">
        <v>215</v>
      </c>
      <c r="Q22" s="3" t="str">
        <f>_xlfn.XLOOKUP($R22,SPORT!$B$1:$B$33,SPORT!$A$1:$A$33)</f>
        <v>OUTDOOR</v>
      </c>
      <c r="R22" s="2" t="s">
        <v>193</v>
      </c>
      <c r="S22" s="2">
        <v>106808</v>
      </c>
      <c r="T22" t="str">
        <f t="shared" si="2"/>
        <v>MR. KENDRICK SAUER</v>
      </c>
      <c r="U22" s="37">
        <v>21</v>
      </c>
      <c r="V22" s="35">
        <v>35268</v>
      </c>
      <c r="W22" s="36">
        <v>100.9</v>
      </c>
      <c r="X22" s="38">
        <v>106808</v>
      </c>
    </row>
    <row r="23" spans="1:24" x14ac:dyDescent="0.25">
      <c r="A23" s="2">
        <v>22</v>
      </c>
      <c r="B23" s="3" t="str">
        <f t="shared" si="0"/>
        <v>DR. ANNABELL OLSON</v>
      </c>
      <c r="C23" s="2" t="s">
        <v>21</v>
      </c>
      <c r="D23" s="2" t="s">
        <v>67</v>
      </c>
      <c r="E23" s="2"/>
      <c r="F23" s="2" t="s">
        <v>68</v>
      </c>
      <c r="G23" s="25">
        <v>23483</v>
      </c>
      <c r="H23" s="2" t="s">
        <v>69</v>
      </c>
      <c r="I23" s="2" t="s">
        <v>138</v>
      </c>
      <c r="J23" s="5" t="s">
        <v>152</v>
      </c>
      <c r="K23" s="5" t="str">
        <f>HLOOKUP($J23,LOCATION!$A$2:$M$3,2,0)</f>
        <v>AUSTRALIA</v>
      </c>
      <c r="L23" s="5" t="str">
        <f>INDEX(LOCATION!$A$1:$M$1,1,MATCH($J23,LOCATION!$A$2:$M$2,0))</f>
        <v>English</v>
      </c>
      <c r="M23" s="5" t="str">
        <f t="shared" si="1"/>
        <v>Olson.Annabell@xyzorg</v>
      </c>
      <c r="N23" s="4">
        <v>84.3</v>
      </c>
      <c r="O23" s="2" t="s">
        <v>209</v>
      </c>
      <c r="P23" s="2" t="s">
        <v>216</v>
      </c>
      <c r="Q23" s="3" t="str">
        <f>_xlfn.XLOOKUP($R23,SPORT!$B$1:$B$33,SPORT!$A$1:$A$33)</f>
        <v>OUTDOOR</v>
      </c>
      <c r="R23" s="2" t="s">
        <v>194</v>
      </c>
      <c r="S23" s="2">
        <v>96468</v>
      </c>
      <c r="T23" t="str">
        <f t="shared" si="2"/>
        <v>DR. ANNABELL OLSON</v>
      </c>
      <c r="U23" s="37">
        <v>22</v>
      </c>
      <c r="V23" s="35">
        <v>23483</v>
      </c>
      <c r="W23" s="36">
        <v>84.3</v>
      </c>
      <c r="X23" s="38">
        <v>96468</v>
      </c>
    </row>
    <row r="24" spans="1:24" x14ac:dyDescent="0.25">
      <c r="A24" s="2">
        <v>23</v>
      </c>
      <c r="B24" s="3" t="str">
        <f t="shared" si="0"/>
        <v>DR. JENA UPTON</v>
      </c>
      <c r="C24" s="2" t="s">
        <v>21</v>
      </c>
      <c r="D24" s="2" t="s">
        <v>70</v>
      </c>
      <c r="E24" s="2"/>
      <c r="F24" s="2" t="s">
        <v>71</v>
      </c>
      <c r="G24" s="25">
        <v>20437</v>
      </c>
      <c r="H24" s="2" t="s">
        <v>27</v>
      </c>
      <c r="I24" s="2" t="s">
        <v>138</v>
      </c>
      <c r="J24" s="5" t="s">
        <v>152</v>
      </c>
      <c r="K24" s="5" t="str">
        <f>HLOOKUP($J24,LOCATION!$A$2:$M$3,2,0)</f>
        <v>AUSTRALIA</v>
      </c>
      <c r="L24" s="5" t="str">
        <f>INDEX(LOCATION!$A$1:$M$1,1,MATCH($J24,LOCATION!$A$2:$M$2,0))</f>
        <v>English</v>
      </c>
      <c r="M24" s="5" t="str">
        <f t="shared" si="1"/>
        <v>Upton.Jena@xyzorg</v>
      </c>
      <c r="N24" s="4">
        <v>66.8</v>
      </c>
      <c r="O24" s="2" t="s">
        <v>214</v>
      </c>
      <c r="P24" s="2" t="s">
        <v>217</v>
      </c>
      <c r="Q24" s="3" t="str">
        <f>_xlfn.XLOOKUP($R24,SPORT!$B$1:$B$33,SPORT!$A$1:$A$33)</f>
        <v>OUTDOOR</v>
      </c>
      <c r="R24" s="2" t="s">
        <v>195</v>
      </c>
      <c r="S24" s="2">
        <v>16526</v>
      </c>
      <c r="T24" t="str">
        <f t="shared" si="2"/>
        <v>DR. JENA UPTON</v>
      </c>
      <c r="U24" s="37">
        <v>23</v>
      </c>
      <c r="V24" s="35">
        <v>20437</v>
      </c>
      <c r="W24" s="36">
        <v>66.8</v>
      </c>
      <c r="X24" s="38">
        <v>16526</v>
      </c>
    </row>
    <row r="25" spans="1:24" x14ac:dyDescent="0.25">
      <c r="A25" s="2">
        <v>24</v>
      </c>
      <c r="B25" s="3" t="str">
        <f t="shared" si="0"/>
        <v>DR. SHANNY BINS</v>
      </c>
      <c r="C25" s="2" t="s">
        <v>21</v>
      </c>
      <c r="D25" s="2" t="s">
        <v>72</v>
      </c>
      <c r="E25" s="2"/>
      <c r="F25" s="2" t="s">
        <v>73</v>
      </c>
      <c r="G25" s="25">
        <v>36400</v>
      </c>
      <c r="H25" s="2" t="s">
        <v>49</v>
      </c>
      <c r="I25" s="2" t="s">
        <v>138</v>
      </c>
      <c r="J25" s="5" t="s">
        <v>152</v>
      </c>
      <c r="K25" s="5" t="str">
        <f>HLOOKUP($J25,LOCATION!$A$2:$M$3,2,0)</f>
        <v>AUSTRALIA</v>
      </c>
      <c r="L25" s="5" t="str">
        <f>INDEX(LOCATION!$A$1:$M$1,1,MATCH($J25,LOCATION!$A$2:$M$2,0))</f>
        <v>English</v>
      </c>
      <c r="M25" s="5" t="str">
        <f t="shared" si="1"/>
        <v>Bins.Shanny@xyzorg</v>
      </c>
      <c r="N25" s="4">
        <v>59.4</v>
      </c>
      <c r="O25" s="2" t="s">
        <v>213</v>
      </c>
      <c r="P25" s="2" t="s">
        <v>215</v>
      </c>
      <c r="Q25" s="3" t="str">
        <f>_xlfn.XLOOKUP($R25,SPORT!$B$1:$B$33,SPORT!$A$1:$A$33)</f>
        <v>OUTDOOR</v>
      </c>
      <c r="R25" s="2" t="s">
        <v>196</v>
      </c>
      <c r="S25" s="2">
        <v>21891</v>
      </c>
      <c r="T25" t="str">
        <f t="shared" si="2"/>
        <v>DR. SHANNY BINS</v>
      </c>
      <c r="U25" s="37">
        <v>24</v>
      </c>
      <c r="V25" s="35">
        <v>36400</v>
      </c>
      <c r="W25" s="36">
        <v>59.4</v>
      </c>
      <c r="X25" s="38">
        <v>21891</v>
      </c>
    </row>
    <row r="26" spans="1:24" x14ac:dyDescent="0.25">
      <c r="A26" s="2">
        <v>25</v>
      </c>
      <c r="B26" s="3" t="str">
        <f t="shared" si="0"/>
        <v>DR. TIA ABSHIRE</v>
      </c>
      <c r="C26" s="2" t="s">
        <v>21</v>
      </c>
      <c r="D26" s="2" t="s">
        <v>74</v>
      </c>
      <c r="E26" s="2"/>
      <c r="F26" s="2" t="s">
        <v>75</v>
      </c>
      <c r="G26" s="25">
        <v>24309</v>
      </c>
      <c r="H26" s="2" t="s">
        <v>17</v>
      </c>
      <c r="I26" s="2" t="s">
        <v>138</v>
      </c>
      <c r="J26" s="5" t="s">
        <v>152</v>
      </c>
      <c r="K26" s="5" t="str">
        <f>HLOOKUP($J26,LOCATION!$A$2:$M$3,2,0)</f>
        <v>AUSTRALIA</v>
      </c>
      <c r="L26" s="5" t="str">
        <f>INDEX(LOCATION!$A$1:$M$1,1,MATCH($J26,LOCATION!$A$2:$M$2,0))</f>
        <v>English</v>
      </c>
      <c r="M26" s="5" t="str">
        <f t="shared" si="1"/>
        <v>Abshire.Tia@xyzorg</v>
      </c>
      <c r="N26" s="4">
        <v>77.8</v>
      </c>
      <c r="O26" s="2" t="s">
        <v>213</v>
      </c>
      <c r="P26" s="2" t="s">
        <v>216</v>
      </c>
      <c r="Q26" s="3" t="str">
        <f>_xlfn.XLOOKUP($R26,SPORT!$B$1:$B$33,SPORT!$A$1:$A$33)</f>
        <v>OUTDOOR</v>
      </c>
      <c r="R26" s="2" t="s">
        <v>181</v>
      </c>
      <c r="S26" s="2">
        <v>62037</v>
      </c>
      <c r="T26" t="str">
        <f t="shared" si="2"/>
        <v>DR. TIA ABSHIRE</v>
      </c>
      <c r="U26" s="37">
        <v>25</v>
      </c>
      <c r="V26" s="35">
        <v>24309</v>
      </c>
      <c r="W26" s="36">
        <v>77.8</v>
      </c>
      <c r="X26" s="38">
        <v>62037</v>
      </c>
    </row>
    <row r="27" spans="1:24" x14ac:dyDescent="0.25">
      <c r="A27" s="2">
        <v>26</v>
      </c>
      <c r="B27" s="3" t="str">
        <f t="shared" si="0"/>
        <v>MS. ISABEL RUNOLFSDOTTIR</v>
      </c>
      <c r="C27" s="2" t="s">
        <v>6</v>
      </c>
      <c r="D27" s="2" t="s">
        <v>76</v>
      </c>
      <c r="E27" s="2"/>
      <c r="F27" s="2" t="s">
        <v>77</v>
      </c>
      <c r="G27" s="25">
        <v>28570</v>
      </c>
      <c r="H27" s="2" t="s">
        <v>69</v>
      </c>
      <c r="I27" s="2" t="s">
        <v>138</v>
      </c>
      <c r="J27" s="5" t="s">
        <v>152</v>
      </c>
      <c r="K27" s="5" t="str">
        <f>HLOOKUP($J27,LOCATION!$A$2:$M$3,2,0)</f>
        <v>AUSTRALIA</v>
      </c>
      <c r="L27" s="5" t="str">
        <f>INDEX(LOCATION!$A$1:$M$1,1,MATCH($J27,LOCATION!$A$2:$M$2,0))</f>
        <v>English</v>
      </c>
      <c r="M27" s="5" t="str">
        <f t="shared" si="1"/>
        <v>Runolfsdottir.Isabel@xyzorg</v>
      </c>
      <c r="N27" s="4">
        <v>85.9</v>
      </c>
      <c r="O27" s="2" t="s">
        <v>214</v>
      </c>
      <c r="P27" s="2" t="s">
        <v>219</v>
      </c>
      <c r="Q27" s="3" t="str">
        <f>_xlfn.XLOOKUP($R27,SPORT!$B$1:$B$33,SPORT!$A$1:$A$33)</f>
        <v>INDOOR</v>
      </c>
      <c r="R27" s="2" t="s">
        <v>174</v>
      </c>
      <c r="S27" s="2">
        <v>89737</v>
      </c>
      <c r="T27" t="str">
        <f t="shared" si="2"/>
        <v>MS. ISABEL RUNOLFSDOTTIR</v>
      </c>
      <c r="U27" s="37">
        <v>26</v>
      </c>
      <c r="V27" s="35">
        <v>28570</v>
      </c>
      <c r="W27" s="36">
        <v>85.9</v>
      </c>
      <c r="X27" s="38">
        <v>89737</v>
      </c>
    </row>
    <row r="28" spans="1:24" x14ac:dyDescent="0.25">
      <c r="A28" s="2">
        <v>27</v>
      </c>
      <c r="B28" s="3" t="str">
        <f t="shared" si="0"/>
        <v>HR. BARNEY WESACK</v>
      </c>
      <c r="C28" s="2" t="s">
        <v>46</v>
      </c>
      <c r="D28" s="2" t="s">
        <v>78</v>
      </c>
      <c r="E28" s="2"/>
      <c r="F28" s="2" t="s">
        <v>79</v>
      </c>
      <c r="G28" s="25">
        <v>25767</v>
      </c>
      <c r="H28" s="2" t="s">
        <v>17</v>
      </c>
      <c r="I28" s="2" t="s">
        <v>142</v>
      </c>
      <c r="J28" s="5" t="s">
        <v>154</v>
      </c>
      <c r="K28" s="5" t="str">
        <f>HLOOKUP($J28,LOCATION!$A$2:$M$3,2,0)</f>
        <v>AUSTRIA</v>
      </c>
      <c r="L28" s="5" t="str">
        <f>INDEX(LOCATION!$A$1:$M$1,1,MATCH($J28,LOCATION!$A$2:$M$2,0))</f>
        <v>German</v>
      </c>
      <c r="M28" s="5" t="str">
        <f t="shared" si="1"/>
        <v>Wesack.Barney@xyz.com</v>
      </c>
      <c r="N28" s="4">
        <v>93.4</v>
      </c>
      <c r="O28" s="2" t="s">
        <v>213</v>
      </c>
      <c r="P28" s="2" t="s">
        <v>219</v>
      </c>
      <c r="Q28" s="3" t="str">
        <f>_xlfn.XLOOKUP($R28,SPORT!$B$1:$B$33,SPORT!$A$1:$A$33)</f>
        <v>INDOOR</v>
      </c>
      <c r="R28" s="2" t="s">
        <v>197</v>
      </c>
      <c r="S28" s="2">
        <v>41039</v>
      </c>
      <c r="T28" t="str">
        <f t="shared" si="2"/>
        <v>HR. BARNEY WESACK</v>
      </c>
      <c r="U28" s="37">
        <v>27</v>
      </c>
      <c r="V28" s="35">
        <v>25767</v>
      </c>
      <c r="W28" s="36">
        <v>93.4</v>
      </c>
      <c r="X28" s="38">
        <v>41039</v>
      </c>
    </row>
    <row r="29" spans="1:24" x14ac:dyDescent="0.25">
      <c r="A29" s="2">
        <v>28</v>
      </c>
      <c r="B29" s="3" t="str">
        <f t="shared" si="0"/>
        <v>HR. BARUCH KADE</v>
      </c>
      <c r="C29" s="2" t="s">
        <v>46</v>
      </c>
      <c r="D29" s="2" t="s">
        <v>80</v>
      </c>
      <c r="E29" s="2"/>
      <c r="F29" s="2" t="s">
        <v>81</v>
      </c>
      <c r="G29" s="25">
        <v>30020</v>
      </c>
      <c r="H29" s="2" t="s">
        <v>53</v>
      </c>
      <c r="I29" s="2" t="s">
        <v>142</v>
      </c>
      <c r="J29" s="5" t="s">
        <v>154</v>
      </c>
      <c r="K29" s="5" t="str">
        <f>HLOOKUP($J29,LOCATION!$A$2:$M$3,2,0)</f>
        <v>AUSTRIA</v>
      </c>
      <c r="L29" s="5" t="str">
        <f>INDEX(LOCATION!$A$1:$M$1,1,MATCH($J29,LOCATION!$A$2:$M$2,0))</f>
        <v>German</v>
      </c>
      <c r="M29" s="5" t="str">
        <f t="shared" si="1"/>
        <v>Kade.Baruch@xyz.com</v>
      </c>
      <c r="N29" s="4">
        <v>95.5</v>
      </c>
      <c r="O29" s="2" t="s">
        <v>218</v>
      </c>
      <c r="P29" s="2" t="s">
        <v>212</v>
      </c>
      <c r="Q29" s="3" t="str">
        <f>_xlfn.XLOOKUP($R29,SPORT!$B$1:$B$33,SPORT!$A$1:$A$33)</f>
        <v>OUTDOOR</v>
      </c>
      <c r="R29" s="2" t="s">
        <v>186</v>
      </c>
      <c r="S29" s="2">
        <v>28458</v>
      </c>
      <c r="T29" t="str">
        <f t="shared" si="2"/>
        <v>HR. BARUCH KADE</v>
      </c>
      <c r="U29" s="37">
        <v>28</v>
      </c>
      <c r="V29" s="35">
        <v>30020</v>
      </c>
      <c r="W29" s="36">
        <v>95.5</v>
      </c>
      <c r="X29" s="38">
        <v>28458</v>
      </c>
    </row>
    <row r="30" spans="1:24" x14ac:dyDescent="0.25">
      <c r="A30" s="2">
        <v>29</v>
      </c>
      <c r="B30" s="3" t="str">
        <f t="shared" si="0"/>
        <v>PROF. LIESBETH ROSEMANN</v>
      </c>
      <c r="C30" s="2" t="s">
        <v>50</v>
      </c>
      <c r="D30" s="2" t="s">
        <v>82</v>
      </c>
      <c r="E30" s="2"/>
      <c r="F30" s="2" t="s">
        <v>83</v>
      </c>
      <c r="G30" s="25">
        <v>34361</v>
      </c>
      <c r="H30" s="2" t="s">
        <v>12</v>
      </c>
      <c r="I30" s="2" t="s">
        <v>138</v>
      </c>
      <c r="J30" s="5" t="s">
        <v>154</v>
      </c>
      <c r="K30" s="5" t="str">
        <f>HLOOKUP($J30,LOCATION!$A$2:$M$3,2,0)</f>
        <v>AUSTRIA</v>
      </c>
      <c r="L30" s="5" t="str">
        <f>INDEX(LOCATION!$A$1:$M$1,1,MATCH($J30,LOCATION!$A$2:$M$2,0))</f>
        <v>German</v>
      </c>
      <c r="M30" s="5" t="str">
        <f t="shared" si="1"/>
        <v>Rosemann.Liesbeth@xyz.com</v>
      </c>
      <c r="N30" s="4">
        <v>52.2</v>
      </c>
      <c r="O30" s="2" t="s">
        <v>214</v>
      </c>
      <c r="P30" s="2" t="s">
        <v>217</v>
      </c>
      <c r="Q30" s="3" t="str">
        <f>_xlfn.XLOOKUP($R30,SPORT!$B$1:$B$33,SPORT!$A$1:$A$33)</f>
        <v>OUTDOOR</v>
      </c>
      <c r="R30" s="2" t="s">
        <v>181</v>
      </c>
      <c r="S30" s="2">
        <v>55007</v>
      </c>
      <c r="T30" t="str">
        <f t="shared" si="2"/>
        <v>PROF. LIESBETH ROSEMANN</v>
      </c>
      <c r="U30" s="37">
        <v>29</v>
      </c>
      <c r="V30" s="35">
        <v>34361</v>
      </c>
      <c r="W30" s="36">
        <v>52.2</v>
      </c>
      <c r="X30" s="38">
        <v>55007</v>
      </c>
    </row>
    <row r="31" spans="1:24" x14ac:dyDescent="0.25">
      <c r="A31" s="2">
        <v>30</v>
      </c>
      <c r="B31" s="3" t="str">
        <f t="shared" si="0"/>
        <v>MME. VALENTINE MOREAU</v>
      </c>
      <c r="C31" s="2" t="s">
        <v>84</v>
      </c>
      <c r="D31" s="2" t="s">
        <v>85</v>
      </c>
      <c r="E31" s="2"/>
      <c r="F31" s="2" t="s">
        <v>86</v>
      </c>
      <c r="G31" s="25">
        <v>29137</v>
      </c>
      <c r="H31" s="2" t="s">
        <v>9</v>
      </c>
      <c r="I31" s="2" t="s">
        <v>138</v>
      </c>
      <c r="J31" s="5" t="s">
        <v>157</v>
      </c>
      <c r="K31" s="5" t="str">
        <f>HLOOKUP($J31,LOCATION!$A$2:$M$3,2,0)</f>
        <v>FRANCE</v>
      </c>
      <c r="L31" s="5" t="str">
        <f>INDEX(LOCATION!$A$1:$M$1,1,MATCH($J31,LOCATION!$A$2:$M$2,0))</f>
        <v>French</v>
      </c>
      <c r="M31" s="5" t="str">
        <f t="shared" si="1"/>
        <v>Moreau.Valentine@xyz.com</v>
      </c>
      <c r="N31" s="4">
        <v>74.599999999999994</v>
      </c>
      <c r="O31" s="2" t="s">
        <v>214</v>
      </c>
      <c r="P31" s="2" t="s">
        <v>219</v>
      </c>
      <c r="Q31" s="3" t="str">
        <f>_xlfn.XLOOKUP($R31,SPORT!$B$1:$B$33,SPORT!$A$1:$A$33)</f>
        <v>OUTDOOR</v>
      </c>
      <c r="R31" s="2" t="s">
        <v>198</v>
      </c>
      <c r="S31" s="2">
        <v>69041</v>
      </c>
      <c r="T31" t="str">
        <f t="shared" si="2"/>
        <v>MME. VALENTINE MOREAU</v>
      </c>
      <c r="U31" s="37">
        <v>30</v>
      </c>
      <c r="V31" s="35">
        <v>29137</v>
      </c>
      <c r="W31" s="36">
        <v>74.599999999999994</v>
      </c>
      <c r="X31" s="38">
        <v>69041</v>
      </c>
    </row>
    <row r="32" spans="1:24" x14ac:dyDescent="0.25">
      <c r="A32" s="2">
        <v>31</v>
      </c>
      <c r="B32" s="3" t="str">
        <f t="shared" si="0"/>
        <v>MME. PAULETTE DURAND</v>
      </c>
      <c r="C32" s="2" t="s">
        <v>84</v>
      </c>
      <c r="D32" s="2" t="s">
        <v>87</v>
      </c>
      <c r="E32" s="2"/>
      <c r="F32" s="2" t="s">
        <v>88</v>
      </c>
      <c r="G32" s="25">
        <v>32867</v>
      </c>
      <c r="H32" s="2" t="s">
        <v>64</v>
      </c>
      <c r="I32" s="2" t="s">
        <v>138</v>
      </c>
      <c r="J32" s="5" t="s">
        <v>157</v>
      </c>
      <c r="K32" s="5" t="str">
        <f>HLOOKUP($J32,LOCATION!$A$2:$M$3,2,0)</f>
        <v>FRANCE</v>
      </c>
      <c r="L32" s="5" t="str">
        <f>INDEX(LOCATION!$A$1:$M$1,1,MATCH($J32,LOCATION!$A$2:$M$2,0))</f>
        <v>French</v>
      </c>
      <c r="M32" s="5" t="str">
        <f t="shared" si="1"/>
        <v>Durand.Paulette@xyz.com</v>
      </c>
      <c r="N32" s="4">
        <v>81.7</v>
      </c>
      <c r="O32" s="2" t="s">
        <v>213</v>
      </c>
      <c r="P32" s="2" t="s">
        <v>212</v>
      </c>
      <c r="Q32" s="3" t="str">
        <f>_xlfn.XLOOKUP($R32,SPORT!$B$1:$B$33,SPORT!$A$1:$A$33)</f>
        <v>INDOOR</v>
      </c>
      <c r="R32" s="2" t="s">
        <v>197</v>
      </c>
      <c r="S32" s="2">
        <v>86262</v>
      </c>
      <c r="T32" t="str">
        <f t="shared" si="2"/>
        <v>MME. PAULETTE DURAND</v>
      </c>
      <c r="U32" s="37">
        <v>31</v>
      </c>
      <c r="V32" s="35">
        <v>32867</v>
      </c>
      <c r="W32" s="36">
        <v>81.7</v>
      </c>
      <c r="X32" s="38">
        <v>86262</v>
      </c>
    </row>
    <row r="33" spans="1:24" x14ac:dyDescent="0.25">
      <c r="A33" s="2">
        <v>32</v>
      </c>
      <c r="B33" s="3" t="str">
        <f t="shared" si="0"/>
        <v>MME. LAURE-ALIX CHEVALIER</v>
      </c>
      <c r="C33" s="2" t="s">
        <v>84</v>
      </c>
      <c r="D33" s="2" t="s">
        <v>89</v>
      </c>
      <c r="E33" s="2"/>
      <c r="F33" s="2" t="s">
        <v>90</v>
      </c>
      <c r="G33" s="25">
        <v>25925</v>
      </c>
      <c r="H33" s="2" t="s">
        <v>64</v>
      </c>
      <c r="I33" s="2" t="s">
        <v>138</v>
      </c>
      <c r="J33" s="5" t="s">
        <v>157</v>
      </c>
      <c r="K33" s="5" t="str">
        <f>HLOOKUP($J33,LOCATION!$A$2:$M$3,2,0)</f>
        <v>FRANCE</v>
      </c>
      <c r="L33" s="5" t="str">
        <f>INDEX(LOCATION!$A$1:$M$1,1,MATCH($J33,LOCATION!$A$2:$M$2,0))</f>
        <v>French</v>
      </c>
      <c r="M33" s="5" t="str">
        <f t="shared" si="1"/>
        <v>Chevalier.Laure-Alix@xyz.com</v>
      </c>
      <c r="N33" s="4">
        <v>78.099999999999994</v>
      </c>
      <c r="O33" s="2" t="s">
        <v>214</v>
      </c>
      <c r="P33" s="2" t="s">
        <v>217</v>
      </c>
      <c r="Q33" s="3" t="str">
        <f>_xlfn.XLOOKUP($R33,SPORT!$B$1:$B$33,SPORT!$A$1:$A$33)</f>
        <v>OUTDOOR</v>
      </c>
      <c r="R33" s="2" t="s">
        <v>195</v>
      </c>
      <c r="S33" s="2">
        <v>19234</v>
      </c>
      <c r="T33" t="str">
        <f t="shared" si="2"/>
        <v>MME. LAURE-ALIX CHEVALIER</v>
      </c>
      <c r="U33" s="37">
        <v>32</v>
      </c>
      <c r="V33" s="35">
        <v>25925</v>
      </c>
      <c r="W33" s="36">
        <v>78.099999999999994</v>
      </c>
      <c r="X33" s="38">
        <v>86262</v>
      </c>
    </row>
    <row r="34" spans="1:24" x14ac:dyDescent="0.25">
      <c r="A34" s="2">
        <v>33</v>
      </c>
      <c r="B34" s="3" t="str">
        <f t="shared" si="0"/>
        <v>M. CLAUDE TOUSSAINT</v>
      </c>
      <c r="C34" s="2" t="s">
        <v>91</v>
      </c>
      <c r="D34" s="2" t="s">
        <v>92</v>
      </c>
      <c r="E34" s="2"/>
      <c r="F34" s="2" t="s">
        <v>93</v>
      </c>
      <c r="G34" s="25">
        <v>29529</v>
      </c>
      <c r="H34" s="2" t="s">
        <v>40</v>
      </c>
      <c r="I34" s="2" t="s">
        <v>142</v>
      </c>
      <c r="J34" s="5" t="s">
        <v>157</v>
      </c>
      <c r="K34" s="5" t="str">
        <f>HLOOKUP($J34,LOCATION!$A$2:$M$3,2,0)</f>
        <v>FRANCE</v>
      </c>
      <c r="L34" s="5" t="str">
        <f>INDEX(LOCATION!$A$1:$M$1,1,MATCH($J34,LOCATION!$A$2:$M$2,0))</f>
        <v>French</v>
      </c>
      <c r="M34" s="5" t="str">
        <f t="shared" si="1"/>
        <v>Toussaint.Claude@xyz.com</v>
      </c>
      <c r="N34" s="4">
        <v>57.1</v>
      </c>
      <c r="O34" s="2" t="s">
        <v>209</v>
      </c>
      <c r="P34" s="2" t="s">
        <v>217</v>
      </c>
      <c r="Q34" s="3" t="str">
        <f>_xlfn.XLOOKUP($R34,SPORT!$B$1:$B$33,SPORT!$A$1:$A$33)</f>
        <v>INDOOR</v>
      </c>
      <c r="R34" s="2" t="s">
        <v>199</v>
      </c>
      <c r="S34" s="2">
        <v>95123</v>
      </c>
      <c r="T34" t="str">
        <f t="shared" si="2"/>
        <v>M. CLAUDE TOUSSAINT</v>
      </c>
      <c r="U34" s="37">
        <v>33</v>
      </c>
      <c r="V34" s="35">
        <v>29529</v>
      </c>
      <c r="W34" s="36">
        <v>57.1</v>
      </c>
      <c r="X34" s="38">
        <v>86262</v>
      </c>
    </row>
    <row r="35" spans="1:24" x14ac:dyDescent="0.25">
      <c r="A35" s="2">
        <v>34</v>
      </c>
      <c r="B35" s="3" t="str">
        <f t="shared" si="0"/>
        <v>M. VICTOR LENOIR</v>
      </c>
      <c r="C35" s="2" t="s">
        <v>91</v>
      </c>
      <c r="D35" s="2" t="s">
        <v>94</v>
      </c>
      <c r="E35" s="2"/>
      <c r="F35" s="2" t="s">
        <v>95</v>
      </c>
      <c r="G35" s="25">
        <v>29875</v>
      </c>
      <c r="H35" s="2" t="s">
        <v>9</v>
      </c>
      <c r="I35" s="2" t="s">
        <v>142</v>
      </c>
      <c r="J35" s="5" t="s">
        <v>157</v>
      </c>
      <c r="K35" s="5" t="str">
        <f>HLOOKUP($J35,LOCATION!$A$2:$M$3,2,0)</f>
        <v>FRANCE</v>
      </c>
      <c r="L35" s="5" t="str">
        <f>INDEX(LOCATION!$A$1:$M$1,1,MATCH($J35,LOCATION!$A$2:$M$2,0))</f>
        <v>French</v>
      </c>
      <c r="M35" s="5" t="str">
        <f t="shared" si="1"/>
        <v>Lenoir.Victor@xyz.com</v>
      </c>
      <c r="N35" s="4">
        <v>56</v>
      </c>
      <c r="O35" s="2" t="s">
        <v>214</v>
      </c>
      <c r="P35" s="2" t="s">
        <v>219</v>
      </c>
      <c r="Q35" s="3" t="str">
        <f>_xlfn.XLOOKUP($R35,SPORT!$B$1:$B$33,SPORT!$A$1:$A$33)</f>
        <v>OUTDOOR</v>
      </c>
      <c r="R35" s="2" t="s">
        <v>193</v>
      </c>
      <c r="S35" s="2">
        <v>62761</v>
      </c>
      <c r="T35" t="str">
        <f t="shared" si="2"/>
        <v>M. VICTOR LENOIR</v>
      </c>
      <c r="U35" s="37">
        <v>34</v>
      </c>
      <c r="V35" s="35">
        <v>29875</v>
      </c>
      <c r="W35" s="36">
        <v>56</v>
      </c>
      <c r="X35" s="38">
        <v>86262</v>
      </c>
    </row>
    <row r="36" spans="1:24" x14ac:dyDescent="0.25">
      <c r="A36" s="2">
        <v>35</v>
      </c>
      <c r="B36" s="3" t="str">
        <f t="shared" si="0"/>
        <v>M. ARTHUR LENOIR</v>
      </c>
      <c r="C36" s="2" t="s">
        <v>91</v>
      </c>
      <c r="D36" s="2" t="s">
        <v>96</v>
      </c>
      <c r="E36" s="2"/>
      <c r="F36" s="2" t="s">
        <v>95</v>
      </c>
      <c r="G36" s="25">
        <v>20300</v>
      </c>
      <c r="H36" s="2" t="s">
        <v>30</v>
      </c>
      <c r="I36" s="2" t="s">
        <v>142</v>
      </c>
      <c r="J36" s="5" t="s">
        <v>157</v>
      </c>
      <c r="K36" s="5" t="str">
        <f>HLOOKUP($J36,LOCATION!$A$2:$M$3,2,0)</f>
        <v>FRANCE</v>
      </c>
      <c r="L36" s="5" t="str">
        <f>INDEX(LOCATION!$A$1:$M$1,1,MATCH($J36,LOCATION!$A$2:$M$2,0))</f>
        <v>French</v>
      </c>
      <c r="M36" s="5" t="str">
        <f t="shared" si="1"/>
        <v>Lenoir.Arthur@xyz.com</v>
      </c>
      <c r="N36" s="4">
        <v>88.6</v>
      </c>
      <c r="O36" s="2" t="s">
        <v>213</v>
      </c>
      <c r="P36" s="2" t="s">
        <v>217</v>
      </c>
      <c r="Q36" s="3" t="str">
        <f>_xlfn.XLOOKUP($R36,SPORT!$B$1:$B$33,SPORT!$A$1:$A$33)</f>
        <v>OUTDOOR</v>
      </c>
      <c r="R36" s="2" t="s">
        <v>200</v>
      </c>
      <c r="S36" s="2">
        <v>108431</v>
      </c>
      <c r="T36" t="str">
        <f t="shared" si="2"/>
        <v>M. ARTHUR LENOIR</v>
      </c>
      <c r="U36" s="37">
        <v>35</v>
      </c>
      <c r="V36" s="35">
        <v>20300</v>
      </c>
      <c r="W36" s="36">
        <v>88.6</v>
      </c>
      <c r="X36" s="38">
        <v>86262</v>
      </c>
    </row>
    <row r="37" spans="1:24" x14ac:dyDescent="0.25">
      <c r="A37" s="2">
        <v>36</v>
      </c>
      <c r="B37" s="3" t="str">
        <f t="shared" si="0"/>
        <v>M. BENJAMIN LEBRUN-BRUN</v>
      </c>
      <c r="C37" s="2" t="s">
        <v>91</v>
      </c>
      <c r="D37" s="2" t="s">
        <v>97</v>
      </c>
      <c r="E37" s="2"/>
      <c r="F37" s="2" t="s">
        <v>98</v>
      </c>
      <c r="G37" s="25">
        <v>27428</v>
      </c>
      <c r="H37" s="2" t="s">
        <v>12</v>
      </c>
      <c r="I37" s="2" t="s">
        <v>142</v>
      </c>
      <c r="J37" s="5" t="s">
        <v>157</v>
      </c>
      <c r="K37" s="5" t="str">
        <f>HLOOKUP($J37,LOCATION!$A$2:$M$3,2,0)</f>
        <v>FRANCE</v>
      </c>
      <c r="L37" s="5" t="str">
        <f>INDEX(LOCATION!$A$1:$M$1,1,MATCH($J37,LOCATION!$A$2:$M$2,0))</f>
        <v>French</v>
      </c>
      <c r="M37" s="5" t="str">
        <f t="shared" si="1"/>
        <v>Lebrun-Brun.Benjamin@xyz.com</v>
      </c>
      <c r="N37" s="4">
        <v>78.2</v>
      </c>
      <c r="O37" s="2" t="s">
        <v>211</v>
      </c>
      <c r="P37" s="2" t="s">
        <v>212</v>
      </c>
      <c r="Q37" s="3" t="str">
        <f>_xlfn.XLOOKUP($R37,SPORT!$B$1:$B$33,SPORT!$A$1:$A$33)</f>
        <v>OUTDOOR</v>
      </c>
      <c r="R37" s="2" t="s">
        <v>193</v>
      </c>
      <c r="S37" s="2">
        <v>66268</v>
      </c>
      <c r="T37" t="str">
        <f t="shared" si="2"/>
        <v>M. BENJAMIN LEBRUN-BRUN</v>
      </c>
      <c r="U37" s="37">
        <v>36</v>
      </c>
      <c r="V37" s="35">
        <v>27428</v>
      </c>
      <c r="W37" s="36">
        <v>78.2</v>
      </c>
      <c r="X37" s="38">
        <v>86262</v>
      </c>
    </row>
    <row r="38" spans="1:24" x14ac:dyDescent="0.25">
      <c r="A38" s="2">
        <v>37</v>
      </c>
      <c r="B38" s="3" t="str">
        <f t="shared" si="0"/>
        <v>M. ANTOINE MAILLARD</v>
      </c>
      <c r="C38" s="2" t="s">
        <v>91</v>
      </c>
      <c r="D38" s="2" t="s">
        <v>99</v>
      </c>
      <c r="E38" s="2"/>
      <c r="F38" s="2" t="s">
        <v>100</v>
      </c>
      <c r="G38" s="25">
        <v>31585</v>
      </c>
      <c r="H38" s="2" t="s">
        <v>17</v>
      </c>
      <c r="I38" s="2" t="s">
        <v>142</v>
      </c>
      <c r="J38" s="5" t="s">
        <v>157</v>
      </c>
      <c r="K38" s="5" t="str">
        <f>HLOOKUP($J38,LOCATION!$A$2:$M$3,2,0)</f>
        <v>FRANCE</v>
      </c>
      <c r="L38" s="5" t="str">
        <f>INDEX(LOCATION!$A$1:$M$1,1,MATCH($J38,LOCATION!$A$2:$M$2,0))</f>
        <v>French</v>
      </c>
      <c r="M38" s="5" t="str">
        <f t="shared" si="1"/>
        <v>Maillard.Antoine@xyz.com</v>
      </c>
      <c r="N38" s="4">
        <v>95.8</v>
      </c>
      <c r="O38" s="2" t="s">
        <v>214</v>
      </c>
      <c r="P38" s="2" t="s">
        <v>215</v>
      </c>
      <c r="Q38" s="3" t="str">
        <f>_xlfn.XLOOKUP($R38,SPORT!$B$1:$B$33,SPORT!$A$1:$A$33)</f>
        <v>OUTDOOR</v>
      </c>
      <c r="R38" s="2" t="s">
        <v>201</v>
      </c>
      <c r="S38" s="2">
        <v>33970</v>
      </c>
      <c r="T38" t="str">
        <f t="shared" si="2"/>
        <v>M. ANTOINE MAILLARD</v>
      </c>
      <c r="U38" s="37">
        <v>37</v>
      </c>
      <c r="V38" s="35">
        <v>31585</v>
      </c>
      <c r="W38" s="36">
        <v>95.8</v>
      </c>
      <c r="X38" s="38">
        <v>86262</v>
      </c>
    </row>
    <row r="39" spans="1:24" x14ac:dyDescent="0.25">
      <c r="A39" s="2">
        <v>38</v>
      </c>
      <c r="B39" s="3" t="str">
        <f t="shared" si="0"/>
        <v>M. BERNARD HOARAU-GUYON</v>
      </c>
      <c r="C39" s="2" t="s">
        <v>91</v>
      </c>
      <c r="D39" s="2" t="s">
        <v>101</v>
      </c>
      <c r="E39" s="2"/>
      <c r="F39" s="2" t="s">
        <v>102</v>
      </c>
      <c r="G39" s="25">
        <v>30327</v>
      </c>
      <c r="H39" s="2" t="s">
        <v>64</v>
      </c>
      <c r="I39" s="2" t="s">
        <v>142</v>
      </c>
      <c r="J39" s="5" t="s">
        <v>157</v>
      </c>
      <c r="K39" s="5" t="str">
        <f>HLOOKUP($J39,LOCATION!$A$2:$M$3,2,0)</f>
        <v>FRANCE</v>
      </c>
      <c r="L39" s="5" t="str">
        <f>INDEX(LOCATION!$A$1:$M$1,1,MATCH($J39,LOCATION!$A$2:$M$2,0))</f>
        <v>French</v>
      </c>
      <c r="M39" s="5" t="str">
        <f t="shared" si="1"/>
        <v>Hoarau-Guyon.Bernard@xyz.com</v>
      </c>
      <c r="N39" s="4">
        <v>59.7</v>
      </c>
      <c r="O39" s="2" t="s">
        <v>218</v>
      </c>
      <c r="P39" s="2" t="s">
        <v>212</v>
      </c>
      <c r="Q39" s="3" t="str">
        <f>_xlfn.XLOOKUP($R39,SPORT!$B$1:$B$33,SPORT!$A$1:$A$33)</f>
        <v>INDOOR</v>
      </c>
      <c r="R39" s="2" t="s">
        <v>174</v>
      </c>
      <c r="S39" s="2">
        <v>71352</v>
      </c>
      <c r="T39" t="str">
        <f t="shared" si="2"/>
        <v>M. BERNARD HOARAU-GUYON</v>
      </c>
      <c r="U39" s="37">
        <v>38</v>
      </c>
      <c r="V39" s="35">
        <v>30327</v>
      </c>
      <c r="W39" s="36">
        <v>59.7</v>
      </c>
      <c r="X39" s="38">
        <v>86262</v>
      </c>
    </row>
    <row r="40" spans="1:24" x14ac:dyDescent="0.25">
      <c r="A40" s="2">
        <v>39</v>
      </c>
      <c r="B40" s="3" t="str">
        <f t="shared" si="0"/>
        <v>SR. HIDALGO TERCERO</v>
      </c>
      <c r="C40" s="2" t="s">
        <v>13</v>
      </c>
      <c r="D40" s="2" t="s">
        <v>103</v>
      </c>
      <c r="E40" s="2" t="s">
        <v>104</v>
      </c>
      <c r="F40" s="2" t="s">
        <v>105</v>
      </c>
      <c r="G40" s="25">
        <v>31016</v>
      </c>
      <c r="H40" s="2" t="s">
        <v>27</v>
      </c>
      <c r="I40" s="2" t="s">
        <v>142</v>
      </c>
      <c r="J40" s="5" t="s">
        <v>160</v>
      </c>
      <c r="K40" s="5" t="str">
        <f>HLOOKUP($J40,LOCATION!$A$2:$M$3,2,0)</f>
        <v>ARGENTINA</v>
      </c>
      <c r="L40" s="5" t="str">
        <f>INDEX(LOCATION!$A$1:$M$1,1,MATCH($J40,LOCATION!$A$2:$M$2,0))</f>
        <v>Spanish</v>
      </c>
      <c r="M40" s="5" t="str">
        <f t="shared" si="1"/>
        <v>Tercero.Hidalgo@xyz.com</v>
      </c>
      <c r="N40" s="4">
        <v>77.7</v>
      </c>
      <c r="O40" s="2" t="s">
        <v>218</v>
      </c>
      <c r="P40" s="2" t="s">
        <v>215</v>
      </c>
      <c r="Q40" s="3" t="str">
        <f>_xlfn.XLOOKUP($R40,SPORT!$B$1:$B$33,SPORT!$A$1:$A$33)</f>
        <v>OUTDOOR</v>
      </c>
      <c r="R40" s="2" t="s">
        <v>196</v>
      </c>
      <c r="S40" s="2">
        <v>116376</v>
      </c>
      <c r="T40" t="str">
        <f t="shared" si="2"/>
        <v>SR. HIDALGO TERCERO</v>
      </c>
      <c r="U40" s="37">
        <v>39</v>
      </c>
      <c r="V40" s="35">
        <v>31016</v>
      </c>
      <c r="W40" s="36">
        <v>77.7</v>
      </c>
      <c r="X40" s="38">
        <v>86262</v>
      </c>
    </row>
    <row r="41" spans="1:24" x14ac:dyDescent="0.25">
      <c r="A41" s="2">
        <v>40</v>
      </c>
      <c r="B41" s="3" t="str">
        <f t="shared" si="0"/>
        <v>SR. HADALGO POLANCO</v>
      </c>
      <c r="C41" s="2" t="s">
        <v>13</v>
      </c>
      <c r="D41" s="2" t="s">
        <v>106</v>
      </c>
      <c r="E41" s="2"/>
      <c r="F41" s="2" t="s">
        <v>107</v>
      </c>
      <c r="G41" s="25">
        <v>32314</v>
      </c>
      <c r="H41" s="2" t="s">
        <v>108</v>
      </c>
      <c r="I41" s="2" t="s">
        <v>142</v>
      </c>
      <c r="J41" s="5" t="s">
        <v>160</v>
      </c>
      <c r="K41" s="5" t="str">
        <f>HLOOKUP($J41,LOCATION!$A$2:$M$3,2,0)</f>
        <v>ARGENTINA</v>
      </c>
      <c r="L41" s="5" t="str">
        <f>INDEX(LOCATION!$A$1:$M$1,1,MATCH($J41,LOCATION!$A$2:$M$2,0))</f>
        <v>Spanish</v>
      </c>
      <c r="M41" s="5" t="str">
        <f t="shared" si="1"/>
        <v>Polanco.Hadalgo@xyz.com</v>
      </c>
      <c r="N41" s="4">
        <v>98</v>
      </c>
      <c r="O41" s="2" t="s">
        <v>214</v>
      </c>
      <c r="P41" s="2" t="s">
        <v>210</v>
      </c>
      <c r="Q41" s="3" t="str">
        <f>_xlfn.XLOOKUP($R41,SPORT!$B$1:$B$33,SPORT!$A$1:$A$33)</f>
        <v>OUTDOOR</v>
      </c>
      <c r="R41" s="2" t="s">
        <v>195</v>
      </c>
      <c r="S41" s="2">
        <v>114144</v>
      </c>
      <c r="T41" t="str">
        <f t="shared" si="2"/>
        <v>SR. HADALGO POLANCO</v>
      </c>
      <c r="U41" s="37">
        <v>40</v>
      </c>
      <c r="V41" s="35">
        <v>32314</v>
      </c>
      <c r="W41" s="36">
        <v>98</v>
      </c>
      <c r="X41" s="38">
        <v>86262</v>
      </c>
    </row>
    <row r="42" spans="1:24" x14ac:dyDescent="0.25">
      <c r="A42" s="2">
        <v>41</v>
      </c>
      <c r="B42" s="3" t="str">
        <f t="shared" si="0"/>
        <v>SRA. LAURA OLIVIERA</v>
      </c>
      <c r="C42" s="2" t="s">
        <v>109</v>
      </c>
      <c r="D42" s="2" t="s">
        <v>110</v>
      </c>
      <c r="E42" s="2"/>
      <c r="F42" s="2" t="s">
        <v>111</v>
      </c>
      <c r="G42" s="25">
        <v>27076</v>
      </c>
      <c r="H42" s="2" t="s">
        <v>12</v>
      </c>
      <c r="I42" s="2" t="s">
        <v>138</v>
      </c>
      <c r="J42" s="5" t="s">
        <v>160</v>
      </c>
      <c r="K42" s="5" t="str">
        <f>HLOOKUP($J42,LOCATION!$A$2:$M$3,2,0)</f>
        <v>ARGENTINA</v>
      </c>
      <c r="L42" s="5" t="str">
        <f>INDEX(LOCATION!$A$1:$M$1,1,MATCH($J42,LOCATION!$A$2:$M$2,0))</f>
        <v>Spanish</v>
      </c>
      <c r="M42" s="5" t="str">
        <f t="shared" si="1"/>
        <v>Oliviera.Laura@xyz.com</v>
      </c>
      <c r="N42" s="4">
        <v>51.9</v>
      </c>
      <c r="O42" s="2" t="s">
        <v>213</v>
      </c>
      <c r="P42" s="2" t="s">
        <v>212</v>
      </c>
      <c r="Q42" s="3" t="str">
        <f>_xlfn.XLOOKUP($R42,SPORT!$B$1:$B$33,SPORT!$A$1:$A$33)</f>
        <v>OUTDOOR</v>
      </c>
      <c r="R42" s="2" t="s">
        <v>202</v>
      </c>
      <c r="S42" s="2">
        <v>79872</v>
      </c>
      <c r="T42" t="str">
        <f t="shared" si="2"/>
        <v>SRA. LAURA OLIVIERA</v>
      </c>
      <c r="U42" s="37">
        <v>41</v>
      </c>
      <c r="V42" s="35">
        <v>27076</v>
      </c>
      <c r="W42" s="36">
        <v>51.9</v>
      </c>
      <c r="X42" s="38">
        <v>86262</v>
      </c>
    </row>
    <row r="43" spans="1:24" x14ac:dyDescent="0.25">
      <c r="A43" s="2">
        <v>42</v>
      </c>
      <c r="B43" s="3" t="str">
        <f t="shared" si="0"/>
        <v>SRA. AINHOA GARZA</v>
      </c>
      <c r="C43" s="2" t="s">
        <v>109</v>
      </c>
      <c r="D43" s="2" t="s">
        <v>112</v>
      </c>
      <c r="E43" s="2"/>
      <c r="F43" s="2" t="s">
        <v>113</v>
      </c>
      <c r="G43" s="25">
        <v>32941</v>
      </c>
      <c r="H43" s="2" t="s">
        <v>53</v>
      </c>
      <c r="I43" s="2" t="s">
        <v>138</v>
      </c>
      <c r="J43" s="5" t="s">
        <v>162</v>
      </c>
      <c r="K43" s="5" t="str">
        <f>HLOOKUP($J43,LOCATION!$A$2:$M$3,2,0)</f>
        <v>SPAIN</v>
      </c>
      <c r="L43" s="5" t="str">
        <f>INDEX(LOCATION!$A$1:$M$1,1,MATCH($J43,LOCATION!$A$2:$M$2,0))</f>
        <v>Spanish</v>
      </c>
      <c r="M43" s="5" t="str">
        <f t="shared" si="1"/>
        <v>Garza.Ainhoa@xyz.com</v>
      </c>
      <c r="N43" s="4">
        <v>55.6</v>
      </c>
      <c r="O43" s="2" t="s">
        <v>211</v>
      </c>
      <c r="P43" s="2" t="s">
        <v>217</v>
      </c>
      <c r="Q43" s="3" t="str">
        <f>_xlfn.XLOOKUP($R43,SPORT!$B$1:$B$33,SPORT!$A$1:$A$33)</f>
        <v>INDOOR</v>
      </c>
      <c r="R43" s="2" t="s">
        <v>203</v>
      </c>
      <c r="S43" s="2">
        <v>101969</v>
      </c>
      <c r="T43" t="str">
        <f t="shared" si="2"/>
        <v>SRA. AINHOA GARZA</v>
      </c>
      <c r="U43" s="37">
        <v>42</v>
      </c>
      <c r="V43" s="35">
        <v>32941</v>
      </c>
      <c r="W43" s="36">
        <v>55.6</v>
      </c>
      <c r="X43" s="38">
        <v>86262</v>
      </c>
    </row>
    <row r="44" spans="1:24" x14ac:dyDescent="0.25">
      <c r="A44" s="2">
        <v>43</v>
      </c>
      <c r="B44" s="3" t="str">
        <f t="shared" si="0"/>
        <v>SRA. ISABEL BANDA</v>
      </c>
      <c r="C44" s="2" t="s">
        <v>109</v>
      </c>
      <c r="D44" s="2" t="s">
        <v>76</v>
      </c>
      <c r="E44" s="2"/>
      <c r="F44" s="2" t="s">
        <v>114</v>
      </c>
      <c r="G44" s="25">
        <v>21927</v>
      </c>
      <c r="H44" s="2" t="s">
        <v>64</v>
      </c>
      <c r="I44" s="2" t="s">
        <v>138</v>
      </c>
      <c r="J44" s="5" t="s">
        <v>162</v>
      </c>
      <c r="K44" s="5" t="str">
        <f>HLOOKUP($J44,LOCATION!$A$2:$M$3,2,0)</f>
        <v>SPAIN</v>
      </c>
      <c r="L44" s="5" t="str">
        <f>INDEX(LOCATION!$A$1:$M$1,1,MATCH($J44,LOCATION!$A$2:$M$2,0))</f>
        <v>Spanish</v>
      </c>
      <c r="M44" s="5" t="str">
        <f t="shared" si="1"/>
        <v>Banda.Isabel@xyz.com</v>
      </c>
      <c r="N44" s="4">
        <v>102.3</v>
      </c>
      <c r="O44" s="2" t="s">
        <v>213</v>
      </c>
      <c r="P44" s="2" t="s">
        <v>217</v>
      </c>
      <c r="Q44" s="3" t="str">
        <f>_xlfn.XLOOKUP($R44,SPORT!$B$1:$B$33,SPORT!$A$1:$A$33)</f>
        <v>OUTDOOR</v>
      </c>
      <c r="R44" s="2" t="s">
        <v>196</v>
      </c>
      <c r="S44" s="2">
        <v>50659</v>
      </c>
      <c r="T44" t="str">
        <f t="shared" si="2"/>
        <v>SRA. ISABEL BANDA</v>
      </c>
      <c r="U44" s="37">
        <v>43</v>
      </c>
      <c r="V44" s="35">
        <v>21927</v>
      </c>
      <c r="W44" s="36">
        <v>102.3</v>
      </c>
      <c r="X44" s="38">
        <v>86262</v>
      </c>
    </row>
    <row r="45" spans="1:24" x14ac:dyDescent="0.25">
      <c r="A45" s="2">
        <v>44</v>
      </c>
      <c r="B45" s="3" t="str">
        <f t="shared" si="0"/>
        <v>SRA. CAROLOTA MATEOS</v>
      </c>
      <c r="C45" s="2" t="s">
        <v>109</v>
      </c>
      <c r="D45" s="2" t="s">
        <v>115</v>
      </c>
      <c r="E45" s="2"/>
      <c r="F45" s="2" t="s">
        <v>116</v>
      </c>
      <c r="G45" s="25">
        <v>23952</v>
      </c>
      <c r="H45" s="2" t="s">
        <v>30</v>
      </c>
      <c r="I45" s="2" t="s">
        <v>138</v>
      </c>
      <c r="J45" s="5" t="s">
        <v>162</v>
      </c>
      <c r="K45" s="5" t="str">
        <f>HLOOKUP($J45,LOCATION!$A$2:$M$3,2,0)</f>
        <v>SPAIN</v>
      </c>
      <c r="L45" s="5" t="str">
        <f>INDEX(LOCATION!$A$1:$M$1,1,MATCH($J45,LOCATION!$A$2:$M$2,0))</f>
        <v>Spanish</v>
      </c>
      <c r="M45" s="5" t="str">
        <f t="shared" si="1"/>
        <v>Mateos.Carolota@xyz.com</v>
      </c>
      <c r="N45" s="4">
        <v>58.8</v>
      </c>
      <c r="O45" s="2" t="s">
        <v>218</v>
      </c>
      <c r="P45" s="2" t="s">
        <v>212</v>
      </c>
      <c r="Q45" s="3" t="str">
        <f>_xlfn.XLOOKUP($R45,SPORT!$B$1:$B$33,SPORT!$A$1:$A$33)</f>
        <v>OUTDOOR</v>
      </c>
      <c r="R45" s="2" t="s">
        <v>202</v>
      </c>
      <c r="S45" s="2">
        <v>58215</v>
      </c>
      <c r="T45" t="str">
        <f t="shared" si="2"/>
        <v>SRA. CAROLOTA MATEOS</v>
      </c>
      <c r="U45" s="37">
        <v>44</v>
      </c>
      <c r="V45" s="35">
        <v>23952</v>
      </c>
      <c r="W45" s="36">
        <v>58.8</v>
      </c>
      <c r="X45" s="38">
        <v>86262</v>
      </c>
    </row>
    <row r="46" spans="1:24" x14ac:dyDescent="0.25">
      <c r="A46" s="2">
        <v>45</v>
      </c>
      <c r="B46" s="3" t="str">
        <f t="shared" si="0"/>
        <v>MW. ELIZE PRINS</v>
      </c>
      <c r="C46" s="2" t="s">
        <v>117</v>
      </c>
      <c r="D46" s="2" t="s">
        <v>118</v>
      </c>
      <c r="E46" s="2"/>
      <c r="F46" s="2" t="s">
        <v>119</v>
      </c>
      <c r="G46" s="25">
        <v>22044</v>
      </c>
      <c r="H46" s="2" t="s">
        <v>20</v>
      </c>
      <c r="I46" s="2" t="s">
        <v>138</v>
      </c>
      <c r="J46" s="5" t="s">
        <v>165</v>
      </c>
      <c r="K46" s="5" t="str">
        <f>HLOOKUP($J46,LOCATION!$A$2:$M$3,2,0)</f>
        <v>NETHERLANDS</v>
      </c>
      <c r="L46" s="5" t="str">
        <f>INDEX(LOCATION!$A$1:$M$1,1,MATCH($J46,LOCATION!$A$2:$M$2,0))</f>
        <v>Dutch</v>
      </c>
      <c r="M46" s="5" t="str">
        <f t="shared" si="1"/>
        <v>Prins.Elize@xyz.com</v>
      </c>
      <c r="N46" s="4">
        <v>63.8</v>
      </c>
      <c r="O46" s="2" t="s">
        <v>214</v>
      </c>
      <c r="P46" s="2" t="s">
        <v>217</v>
      </c>
      <c r="Q46" s="3" t="str">
        <f>_xlfn.XLOOKUP($R46,SPORT!$B$1:$B$33,SPORT!$A$1:$A$33)</f>
        <v>INDOOR</v>
      </c>
      <c r="R46" s="2" t="s">
        <v>204</v>
      </c>
      <c r="S46" s="2">
        <v>39935</v>
      </c>
      <c r="T46" t="str">
        <f t="shared" si="2"/>
        <v>MW. ELIZE PRINS</v>
      </c>
      <c r="U46" s="37">
        <v>45</v>
      </c>
      <c r="V46" s="35">
        <v>22044</v>
      </c>
      <c r="W46" s="36">
        <v>63.8</v>
      </c>
      <c r="X46" s="38">
        <v>39935</v>
      </c>
    </row>
    <row r="47" spans="1:24" x14ac:dyDescent="0.25">
      <c r="A47" s="2">
        <v>46</v>
      </c>
      <c r="B47" s="3" t="str">
        <f t="shared" si="0"/>
        <v>DHR. RYAN PHAM</v>
      </c>
      <c r="C47" s="2" t="s">
        <v>120</v>
      </c>
      <c r="D47" s="2" t="s">
        <v>121</v>
      </c>
      <c r="E47" s="2"/>
      <c r="F47" s="2" t="s">
        <v>122</v>
      </c>
      <c r="G47" s="25">
        <v>26940</v>
      </c>
      <c r="H47" s="2" t="s">
        <v>9</v>
      </c>
      <c r="I47" s="2" t="s">
        <v>142</v>
      </c>
      <c r="J47" s="5" t="s">
        <v>165</v>
      </c>
      <c r="K47" s="5" t="str">
        <f>HLOOKUP($J47,LOCATION!$A$2:$M$3,2,0)</f>
        <v>NETHERLANDS</v>
      </c>
      <c r="L47" s="5" t="str">
        <f>INDEX(LOCATION!$A$1:$M$1,1,MATCH($J47,LOCATION!$A$2:$M$2,0))</f>
        <v>Dutch</v>
      </c>
      <c r="M47" s="5" t="str">
        <f t="shared" si="1"/>
        <v>Pham.Ryan@xyz.com</v>
      </c>
      <c r="N47" s="4">
        <v>98.6</v>
      </c>
      <c r="O47" s="2" t="s">
        <v>213</v>
      </c>
      <c r="P47" s="2" t="s">
        <v>219</v>
      </c>
      <c r="Q47" s="3" t="str">
        <f>_xlfn.XLOOKUP($R47,SPORT!$B$1:$B$33,SPORT!$A$1:$A$33)</f>
        <v>OUTDOOR</v>
      </c>
      <c r="R47" s="2" t="s">
        <v>195</v>
      </c>
      <c r="S47" s="2">
        <v>44865</v>
      </c>
      <c r="T47" t="str">
        <f t="shared" si="2"/>
        <v>DHR. RYAN PHAM</v>
      </c>
      <c r="U47" s="37">
        <v>46</v>
      </c>
      <c r="V47" s="35">
        <v>26940</v>
      </c>
      <c r="W47" s="36">
        <v>98.6</v>
      </c>
      <c r="X47" s="38">
        <v>44865</v>
      </c>
    </row>
    <row r="48" spans="1:24" x14ac:dyDescent="0.25">
      <c r="A48" s="2">
        <v>47</v>
      </c>
      <c r="B48" s="3" t="str">
        <f t="shared" si="0"/>
        <v>MW ELISE ROTTEVEEL</v>
      </c>
      <c r="C48" s="2" t="s">
        <v>123</v>
      </c>
      <c r="D48" s="2" t="s">
        <v>124</v>
      </c>
      <c r="E48" s="2"/>
      <c r="F48" s="2" t="s">
        <v>125</v>
      </c>
      <c r="G48" s="25">
        <v>24936</v>
      </c>
      <c r="H48" s="2" t="s">
        <v>69</v>
      </c>
      <c r="I48" s="2" t="s">
        <v>138</v>
      </c>
      <c r="J48" s="5" t="s">
        <v>165</v>
      </c>
      <c r="K48" s="5" t="str">
        <f>HLOOKUP($J48,LOCATION!$A$2:$M$3,2,0)</f>
        <v>NETHERLANDS</v>
      </c>
      <c r="L48" s="5" t="str">
        <f>INDEX(LOCATION!$A$1:$M$1,1,MATCH($J48,LOCATION!$A$2:$M$2,0))</f>
        <v>Dutch</v>
      </c>
      <c r="M48" s="5" t="str">
        <f t="shared" si="1"/>
        <v>Rotteveel.Elise@xyz.com</v>
      </c>
      <c r="N48" s="4">
        <v>61.8</v>
      </c>
      <c r="O48" s="2" t="s">
        <v>218</v>
      </c>
      <c r="P48" s="2" t="s">
        <v>212</v>
      </c>
      <c r="Q48" s="3" t="str">
        <f>_xlfn.XLOOKUP($R48,SPORT!$B$1:$B$33,SPORT!$A$1:$A$33)</f>
        <v>OUTDOOR</v>
      </c>
      <c r="R48" s="2" t="s">
        <v>195</v>
      </c>
      <c r="S48" s="2">
        <v>90478</v>
      </c>
      <c r="T48" t="str">
        <f t="shared" si="2"/>
        <v>MW ELISE ROTTEVEEL</v>
      </c>
      <c r="U48" s="37">
        <v>47</v>
      </c>
      <c r="V48" s="35">
        <v>24936</v>
      </c>
      <c r="W48" s="36">
        <v>61.8</v>
      </c>
      <c r="X48" s="38">
        <v>90478</v>
      </c>
    </row>
    <row r="49" spans="1:24" x14ac:dyDescent="0.25">
      <c r="A49" s="2">
        <v>48</v>
      </c>
      <c r="B49" s="3" t="str">
        <f t="shared" si="0"/>
        <v>FRU. MIRJAM SODERBERG</v>
      </c>
      <c r="C49" s="2" t="s">
        <v>126</v>
      </c>
      <c r="D49" s="2" t="s">
        <v>127</v>
      </c>
      <c r="E49" s="2"/>
      <c r="F49" s="2" t="s">
        <v>128</v>
      </c>
      <c r="G49" s="25">
        <v>35567</v>
      </c>
      <c r="H49" s="2" t="s">
        <v>20</v>
      </c>
      <c r="I49" s="2" t="s">
        <v>138</v>
      </c>
      <c r="J49" s="5" t="s">
        <v>168</v>
      </c>
      <c r="K49" s="5" t="str">
        <f>HLOOKUP($J49,LOCATION!$A$2:$M$3,2,0)</f>
        <v>SWEDEN</v>
      </c>
      <c r="L49" s="5" t="str">
        <f>INDEX(LOCATION!$A$1:$M$1,1,MATCH($J49,LOCATION!$A$2:$M$2,0))</f>
        <v>Swedish</v>
      </c>
      <c r="M49" s="5" t="str">
        <f t="shared" si="1"/>
        <v>Soderberg.Mirjam@xyz.com</v>
      </c>
      <c r="N49" s="4">
        <v>50</v>
      </c>
      <c r="O49" s="2" t="s">
        <v>213</v>
      </c>
      <c r="P49" s="2" t="s">
        <v>217</v>
      </c>
      <c r="Q49" s="3" t="str">
        <f>_xlfn.XLOOKUP($R49,SPORT!$B$1:$B$33,SPORT!$A$1:$A$33)</f>
        <v>OUTDOOR</v>
      </c>
      <c r="R49" s="2" t="s">
        <v>177</v>
      </c>
      <c r="S49" s="2">
        <v>38965</v>
      </c>
      <c r="T49" t="str">
        <f t="shared" si="2"/>
        <v>FRU. MIRJAM SODERBERG</v>
      </c>
      <c r="U49" s="37">
        <v>48</v>
      </c>
      <c r="V49" s="35">
        <v>35567</v>
      </c>
      <c r="W49" s="36">
        <v>50</v>
      </c>
      <c r="X49" s="38">
        <v>38965</v>
      </c>
    </row>
    <row r="50" spans="1:24" x14ac:dyDescent="0.25">
      <c r="A50" s="2">
        <v>49</v>
      </c>
      <c r="B50" s="3" t="str">
        <f t="shared" si="0"/>
        <v>H. BERNDT PALSSON</v>
      </c>
      <c r="C50" s="2" t="s">
        <v>129</v>
      </c>
      <c r="D50" s="2" t="s">
        <v>130</v>
      </c>
      <c r="E50" s="2"/>
      <c r="F50" s="2" t="s">
        <v>131</v>
      </c>
      <c r="G50" s="25">
        <v>31832</v>
      </c>
      <c r="H50" s="2" t="s">
        <v>53</v>
      </c>
      <c r="I50" s="2" t="s">
        <v>142</v>
      </c>
      <c r="J50" s="5" t="s">
        <v>168</v>
      </c>
      <c r="K50" s="5" t="str">
        <f>HLOOKUP($J50,LOCATION!$A$2:$M$3,2,0)</f>
        <v>SWEDEN</v>
      </c>
      <c r="L50" s="5" t="str">
        <f>INDEX(LOCATION!$A$1:$M$1,1,MATCH($J50,LOCATION!$A$2:$M$2,0))</f>
        <v>Swedish</v>
      </c>
      <c r="M50" s="5" t="str">
        <f t="shared" si="1"/>
        <v>Palsson.Berndt@xyz.com</v>
      </c>
      <c r="N50" s="4">
        <v>45.9</v>
      </c>
      <c r="O50" s="2" t="s">
        <v>214</v>
      </c>
      <c r="P50" s="2" t="s">
        <v>210</v>
      </c>
      <c r="Q50" s="3" t="str">
        <f>_xlfn.XLOOKUP($R50,SPORT!$B$1:$B$33,SPORT!$A$1:$A$33)</f>
        <v>OUTDOOR</v>
      </c>
      <c r="R50" s="2" t="s">
        <v>205</v>
      </c>
      <c r="S50" s="2">
        <v>35387</v>
      </c>
      <c r="T50" t="str">
        <f t="shared" si="2"/>
        <v>H. BERNDT PALSSON</v>
      </c>
      <c r="U50" s="37">
        <v>49</v>
      </c>
      <c r="V50" s="35">
        <v>31832</v>
      </c>
      <c r="W50" s="36">
        <v>45.9</v>
      </c>
      <c r="X50" s="38">
        <v>35387</v>
      </c>
    </row>
    <row r="51" spans="1:24" x14ac:dyDescent="0.25">
      <c r="A51" s="2">
        <v>50</v>
      </c>
      <c r="B51" s="3" t="str">
        <f t="shared" si="0"/>
        <v>SR. ADRIANO SOBRINHO</v>
      </c>
      <c r="C51" s="2" t="s">
        <v>13</v>
      </c>
      <c r="D51" s="2" t="s">
        <v>132</v>
      </c>
      <c r="E51" s="2" t="s">
        <v>133</v>
      </c>
      <c r="F51" s="2" t="s">
        <v>134</v>
      </c>
      <c r="G51" s="25">
        <v>34178</v>
      </c>
      <c r="H51" s="2" t="s">
        <v>30</v>
      </c>
      <c r="I51" s="2" t="s">
        <v>142</v>
      </c>
      <c r="J51" s="5" t="s">
        <v>169</v>
      </c>
      <c r="K51" s="5" t="str">
        <f>HLOOKUP($J51,LOCATION!$A$2:$M$3,2,0)</f>
        <v>BRAZIL</v>
      </c>
      <c r="L51" s="5" t="str">
        <f>INDEX(LOCATION!$A$1:$M$1,1,MATCH($J51,LOCATION!$A$2:$M$2,0))</f>
        <v>Portuguese</v>
      </c>
      <c r="M51" s="5" t="str">
        <f t="shared" si="1"/>
        <v>Sobrinho.Adriano@xyz.com</v>
      </c>
      <c r="N51" s="4">
        <v>92.5</v>
      </c>
      <c r="O51" s="2" t="s">
        <v>209</v>
      </c>
      <c r="P51" s="2" t="s">
        <v>216</v>
      </c>
      <c r="Q51" s="3" t="str">
        <f>_xlfn.XLOOKUP($R51,SPORT!$B$1:$B$33,SPORT!$A$1:$A$33)</f>
        <v>INDOOR</v>
      </c>
      <c r="R51" s="2" t="s">
        <v>206</v>
      </c>
      <c r="S51" s="2">
        <v>20532</v>
      </c>
      <c r="T51" t="str">
        <f t="shared" si="2"/>
        <v>SR. ADRIANO SOBRINHO</v>
      </c>
      <c r="U51" s="37">
        <v>50</v>
      </c>
      <c r="V51" s="35">
        <v>34178</v>
      </c>
      <c r="W51" s="36">
        <v>92.5</v>
      </c>
      <c r="X51" s="38">
        <v>20532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D10" sqref="D10"/>
    </sheetView>
  </sheetViews>
  <sheetFormatPr defaultRowHeight="15" x14ac:dyDescent="0.25"/>
  <cols>
    <col min="1" max="1" width="15.5703125" bestFit="1" customWidth="1"/>
    <col min="2" max="2" width="24" bestFit="1" customWidth="1"/>
  </cols>
  <sheetData>
    <row r="1" spans="1:2" x14ac:dyDescent="0.25">
      <c r="A1" s="32" t="s">
        <v>171</v>
      </c>
      <c r="B1" s="32" t="s">
        <v>172</v>
      </c>
    </row>
    <row r="2" spans="1:2" x14ac:dyDescent="0.25">
      <c r="A2" s="33" t="s">
        <v>173</v>
      </c>
      <c r="B2" s="33" t="s">
        <v>174</v>
      </c>
    </row>
    <row r="3" spans="1:2" x14ac:dyDescent="0.25">
      <c r="A3" s="34" t="s">
        <v>173</v>
      </c>
      <c r="B3" s="34" t="s">
        <v>175</v>
      </c>
    </row>
    <row r="4" spans="1:2" x14ac:dyDescent="0.25">
      <c r="A4" s="34" t="s">
        <v>176</v>
      </c>
      <c r="B4" s="34" t="s">
        <v>177</v>
      </c>
    </row>
    <row r="5" spans="1:2" x14ac:dyDescent="0.25">
      <c r="A5" s="34" t="s">
        <v>176</v>
      </c>
      <c r="B5" s="34" t="s">
        <v>178</v>
      </c>
    </row>
    <row r="6" spans="1:2" x14ac:dyDescent="0.25">
      <c r="A6" s="34" t="s">
        <v>173</v>
      </c>
      <c r="B6" s="34" t="s">
        <v>179</v>
      </c>
    </row>
    <row r="7" spans="1:2" x14ac:dyDescent="0.25">
      <c r="A7" s="34" t="s">
        <v>173</v>
      </c>
      <c r="B7" s="34" t="s">
        <v>180</v>
      </c>
    </row>
    <row r="8" spans="1:2" x14ac:dyDescent="0.25">
      <c r="A8" s="34" t="s">
        <v>176</v>
      </c>
      <c r="B8" s="34" t="s">
        <v>181</v>
      </c>
    </row>
    <row r="9" spans="1:2" x14ac:dyDescent="0.25">
      <c r="A9" s="34" t="s">
        <v>173</v>
      </c>
      <c r="B9" s="34" t="s">
        <v>182</v>
      </c>
    </row>
    <row r="10" spans="1:2" x14ac:dyDescent="0.25">
      <c r="A10" s="34" t="s">
        <v>173</v>
      </c>
      <c r="B10" s="34" t="s">
        <v>183</v>
      </c>
    </row>
    <row r="11" spans="1:2" x14ac:dyDescent="0.25">
      <c r="A11" s="34" t="s">
        <v>176</v>
      </c>
      <c r="B11" s="34" t="s">
        <v>184</v>
      </c>
    </row>
    <row r="12" spans="1:2" x14ac:dyDescent="0.25">
      <c r="A12" s="34" t="s">
        <v>176</v>
      </c>
      <c r="B12" s="34" t="s">
        <v>185</v>
      </c>
    </row>
    <row r="13" spans="1:2" x14ac:dyDescent="0.25">
      <c r="A13" s="34" t="s">
        <v>176</v>
      </c>
      <c r="B13" s="34" t="s">
        <v>186</v>
      </c>
    </row>
    <row r="14" spans="1:2" x14ac:dyDescent="0.25">
      <c r="A14" s="34" t="s">
        <v>176</v>
      </c>
      <c r="B14" s="34" t="s">
        <v>187</v>
      </c>
    </row>
    <row r="15" spans="1:2" x14ac:dyDescent="0.25">
      <c r="A15" s="34" t="s">
        <v>173</v>
      </c>
      <c r="B15" s="34" t="s">
        <v>188</v>
      </c>
    </row>
    <row r="16" spans="1:2" x14ac:dyDescent="0.25">
      <c r="A16" s="34" t="s">
        <v>173</v>
      </c>
      <c r="B16" s="34" t="s">
        <v>189</v>
      </c>
    </row>
    <row r="17" spans="1:2" x14ac:dyDescent="0.25">
      <c r="A17" s="34" t="s">
        <v>176</v>
      </c>
      <c r="B17" s="34" t="s">
        <v>190</v>
      </c>
    </row>
    <row r="18" spans="1:2" x14ac:dyDescent="0.25">
      <c r="A18" s="34" t="s">
        <v>173</v>
      </c>
      <c r="B18" s="34" t="s">
        <v>191</v>
      </c>
    </row>
    <row r="19" spans="1:2" x14ac:dyDescent="0.25">
      <c r="A19" s="34" t="s">
        <v>173</v>
      </c>
      <c r="B19" s="34" t="s">
        <v>192</v>
      </c>
    </row>
    <row r="20" spans="1:2" x14ac:dyDescent="0.25">
      <c r="A20" s="34" t="s">
        <v>176</v>
      </c>
      <c r="B20" s="34" t="s">
        <v>193</v>
      </c>
    </row>
    <row r="21" spans="1:2" x14ac:dyDescent="0.25">
      <c r="A21" s="34" t="s">
        <v>176</v>
      </c>
      <c r="B21" s="34" t="s">
        <v>194</v>
      </c>
    </row>
    <row r="22" spans="1:2" x14ac:dyDescent="0.25">
      <c r="A22" s="34" t="s">
        <v>176</v>
      </c>
      <c r="B22" s="34" t="s">
        <v>195</v>
      </c>
    </row>
    <row r="23" spans="1:2" x14ac:dyDescent="0.25">
      <c r="A23" s="34" t="s">
        <v>176</v>
      </c>
      <c r="B23" s="34" t="s">
        <v>196</v>
      </c>
    </row>
    <row r="24" spans="1:2" x14ac:dyDescent="0.25">
      <c r="A24" s="34" t="s">
        <v>173</v>
      </c>
      <c r="B24" s="34" t="s">
        <v>197</v>
      </c>
    </row>
    <row r="25" spans="1:2" x14ac:dyDescent="0.25">
      <c r="A25" s="34" t="s">
        <v>176</v>
      </c>
      <c r="B25" s="34" t="s">
        <v>198</v>
      </c>
    </row>
    <row r="26" spans="1:2" x14ac:dyDescent="0.25">
      <c r="A26" s="34" t="s">
        <v>173</v>
      </c>
      <c r="B26" s="34" t="s">
        <v>199</v>
      </c>
    </row>
    <row r="27" spans="1:2" x14ac:dyDescent="0.25">
      <c r="A27" s="34" t="s">
        <v>176</v>
      </c>
      <c r="B27" s="34" t="s">
        <v>200</v>
      </c>
    </row>
    <row r="28" spans="1:2" x14ac:dyDescent="0.25">
      <c r="A28" s="34" t="s">
        <v>176</v>
      </c>
      <c r="B28" s="34" t="s">
        <v>201</v>
      </c>
    </row>
    <row r="29" spans="1:2" x14ac:dyDescent="0.25">
      <c r="A29" s="34" t="s">
        <v>176</v>
      </c>
      <c r="B29" s="34" t="s">
        <v>202</v>
      </c>
    </row>
    <row r="30" spans="1:2" x14ac:dyDescent="0.25">
      <c r="A30" s="34" t="s">
        <v>173</v>
      </c>
      <c r="B30" s="34" t="s">
        <v>203</v>
      </c>
    </row>
    <row r="31" spans="1:2" x14ac:dyDescent="0.25">
      <c r="A31" s="34" t="s">
        <v>173</v>
      </c>
      <c r="B31" s="34" t="s">
        <v>204</v>
      </c>
    </row>
    <row r="32" spans="1:2" x14ac:dyDescent="0.25">
      <c r="A32" s="34" t="s">
        <v>176</v>
      </c>
      <c r="B32" s="34" t="s">
        <v>205</v>
      </c>
    </row>
    <row r="33" spans="1:2" x14ac:dyDescent="0.25">
      <c r="A33" s="34" t="s">
        <v>173</v>
      </c>
      <c r="B33" s="34"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H9" sqref="H9"/>
    </sheetView>
  </sheetViews>
  <sheetFormatPr defaultRowHeight="15" x14ac:dyDescent="0.25"/>
  <cols>
    <col min="1" max="13" width="13.7109375" style="1" customWidth="1"/>
  </cols>
  <sheetData>
    <row r="1" spans="1:13" x14ac:dyDescent="0.25">
      <c r="A1" s="6"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25">
      <c r="A2" s="6"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25">
      <c r="A3" s="6"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jatin gupta</cp:lastModifiedBy>
  <dcterms:created xsi:type="dcterms:W3CDTF">2019-05-28T07:07:38Z</dcterms:created>
  <dcterms:modified xsi:type="dcterms:W3CDTF">2023-10-04T05:38:15Z</dcterms:modified>
</cp:coreProperties>
</file>